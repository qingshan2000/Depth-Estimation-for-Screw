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wjc\Desktop\xue\229lib\shijue\shen\修改稿\佐证材料\实验完成证据\"/>
    </mc:Choice>
  </mc:AlternateContent>
  <xr:revisionPtr revIDLastSave="0" documentId="13_ncr:1_{676D81FD-3B72-45A2-AAAD-5451C10474DC}" xr6:coauthVersionLast="47" xr6:coauthVersionMax="47" xr10:uidLastSave="{00000000-0000-0000-0000-000000000000}"/>
  <bookViews>
    <workbookView xWindow="-98" yWindow="-98" windowWidth="24196" windowHeight="14476" activeTab="1" xr2:uid="{00000000-000D-0000-FFFF-FFFF00000000}"/>
  </bookViews>
  <sheets>
    <sheet name="中间处理" sheetId="5" r:id="rId1"/>
    <sheet name="脏污" sheetId="6" r:id="rId2"/>
    <sheet name="多次MSE" sheetId="12" r:id="rId3"/>
  </sheets>
  <definedNames>
    <definedName name="_xlnm._FilterDatabase" localSheetId="0" hidden="1">中间处理!$B$1:$C$166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67" i="6" l="1"/>
  <c r="D168" i="6"/>
  <c r="D169" i="6"/>
  <c r="D170" i="6"/>
  <c r="D171" i="6"/>
  <c r="D172" i="6"/>
  <c r="D173" i="6"/>
  <c r="D174" i="6"/>
  <c r="D175" i="6"/>
  <c r="D176" i="6"/>
  <c r="D177" i="6"/>
  <c r="D178" i="6"/>
  <c r="D179" i="6"/>
  <c r="D180" i="6"/>
  <c r="D181" i="6"/>
  <c r="D182" i="6"/>
  <c r="D183" i="6"/>
  <c r="D184" i="6"/>
  <c r="D185" i="6"/>
  <c r="D186" i="6"/>
  <c r="D187" i="6"/>
  <c r="D188" i="6"/>
  <c r="D189" i="6"/>
  <c r="D190" i="6"/>
  <c r="D191" i="6"/>
  <c r="D192" i="6"/>
  <c r="D193" i="6"/>
  <c r="D194" i="6"/>
  <c r="D195" i="6"/>
  <c r="D196" i="6"/>
  <c r="D197" i="6"/>
  <c r="D198" i="6"/>
  <c r="D199" i="6"/>
  <c r="D200" i="6"/>
  <c r="D201" i="6"/>
  <c r="D202" i="6"/>
  <c r="D203" i="6"/>
  <c r="D204" i="6"/>
  <c r="D205" i="6"/>
  <c r="D206" i="6"/>
  <c r="D207" i="6"/>
  <c r="D208" i="6"/>
  <c r="D209" i="6"/>
  <c r="D210" i="6"/>
  <c r="D211" i="6"/>
  <c r="D212" i="6"/>
  <c r="D213" i="6"/>
  <c r="D214" i="6"/>
  <c r="D215" i="6"/>
  <c r="D216" i="6"/>
  <c r="D217" i="6"/>
  <c r="D218" i="6"/>
  <c r="D219" i="6"/>
  <c r="D220" i="6"/>
  <c r="E2" i="5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102" i="5"/>
  <c r="E103" i="5"/>
  <c r="E104" i="5"/>
  <c r="E105" i="5"/>
  <c r="E106" i="5"/>
  <c r="E107" i="5"/>
  <c r="E108" i="5"/>
  <c r="E109" i="5"/>
  <c r="E110" i="5"/>
  <c r="E111" i="5"/>
  <c r="E112" i="5"/>
  <c r="E113" i="5"/>
  <c r="E114" i="5"/>
  <c r="E115" i="5"/>
  <c r="E116" i="5"/>
  <c r="E117" i="5"/>
  <c r="E118" i="5"/>
  <c r="E119" i="5"/>
  <c r="E120" i="5"/>
  <c r="E121" i="5"/>
  <c r="E122" i="5"/>
  <c r="E123" i="5"/>
  <c r="E124" i="5"/>
  <c r="E125" i="5"/>
  <c r="E126" i="5"/>
  <c r="E127" i="5"/>
  <c r="E128" i="5"/>
  <c r="E129" i="5"/>
  <c r="E130" i="5"/>
  <c r="E131" i="5"/>
  <c r="E132" i="5"/>
  <c r="E133" i="5"/>
  <c r="E134" i="5"/>
  <c r="E135" i="5"/>
  <c r="E136" i="5"/>
  <c r="E137" i="5"/>
  <c r="E138" i="5"/>
  <c r="E139" i="5"/>
  <c r="E140" i="5"/>
  <c r="E141" i="5"/>
  <c r="E142" i="5"/>
  <c r="E143" i="5"/>
  <c r="E144" i="5"/>
  <c r="E145" i="5"/>
  <c r="E146" i="5"/>
  <c r="E147" i="5"/>
  <c r="E148" i="5"/>
  <c r="E149" i="5"/>
  <c r="E150" i="5"/>
  <c r="E151" i="5"/>
  <c r="E152" i="5"/>
  <c r="E153" i="5"/>
  <c r="E154" i="5"/>
  <c r="E155" i="5"/>
  <c r="E156" i="5"/>
  <c r="E157" i="5"/>
  <c r="E158" i="5"/>
  <c r="E159" i="5"/>
  <c r="E160" i="5"/>
  <c r="E161" i="5"/>
  <c r="E162" i="5"/>
  <c r="E163" i="5"/>
  <c r="E164" i="5"/>
  <c r="E165" i="5"/>
  <c r="E166" i="5"/>
  <c r="E167" i="5"/>
  <c r="E168" i="5"/>
  <c r="E169" i="5"/>
  <c r="E170" i="5"/>
  <c r="E171" i="5"/>
  <c r="E172" i="5"/>
  <c r="E173" i="5"/>
  <c r="E174" i="5"/>
  <c r="E175" i="5"/>
  <c r="E176" i="5"/>
  <c r="E177" i="5"/>
  <c r="E178" i="5"/>
  <c r="E179" i="5"/>
  <c r="E180" i="5"/>
  <c r="E181" i="5"/>
  <c r="E182" i="5"/>
  <c r="E183" i="5"/>
  <c r="E184" i="5"/>
  <c r="E185" i="5"/>
  <c r="E186" i="5"/>
  <c r="E187" i="5"/>
  <c r="E188" i="5"/>
  <c r="E189" i="5"/>
  <c r="E190" i="5"/>
  <c r="E191" i="5"/>
  <c r="E192" i="5"/>
  <c r="E193" i="5"/>
  <c r="E194" i="5"/>
  <c r="E195" i="5"/>
  <c r="E196" i="5"/>
  <c r="E197" i="5"/>
  <c r="E198" i="5"/>
  <c r="E199" i="5"/>
  <c r="E200" i="5"/>
  <c r="E201" i="5"/>
  <c r="E202" i="5"/>
  <c r="E203" i="5"/>
  <c r="E204" i="5"/>
  <c r="E205" i="5"/>
  <c r="E206" i="5"/>
  <c r="E207" i="5"/>
  <c r="E208" i="5"/>
  <c r="E209" i="5"/>
  <c r="E210" i="5"/>
  <c r="E211" i="5"/>
  <c r="E212" i="5"/>
  <c r="E213" i="5"/>
  <c r="E214" i="5"/>
  <c r="E215" i="5"/>
  <c r="E216" i="5"/>
  <c r="E217" i="5"/>
  <c r="E218" i="5"/>
  <c r="E1" i="5"/>
  <c r="D7" i="12"/>
  <c r="C7" i="12"/>
  <c r="B7" i="12"/>
  <c r="D6" i="12"/>
  <c r="C6" i="12"/>
  <c r="B6" i="12"/>
  <c r="A2" i="5"/>
  <c r="A3" i="5"/>
  <c r="A4" i="5"/>
  <c r="A5" i="5"/>
  <c r="A6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32" i="5"/>
  <c r="A33" i="5"/>
  <c r="A34" i="5"/>
  <c r="A35" i="5"/>
  <c r="A36" i="5"/>
  <c r="A37" i="5"/>
  <c r="A38" i="5"/>
  <c r="A39" i="5"/>
  <c r="A40" i="5"/>
  <c r="A41" i="5"/>
  <c r="A42" i="5"/>
  <c r="A43" i="5"/>
  <c r="A44" i="5"/>
  <c r="A45" i="5"/>
  <c r="A46" i="5"/>
  <c r="A47" i="5"/>
  <c r="A48" i="5"/>
  <c r="A49" i="5"/>
  <c r="A50" i="5"/>
  <c r="A51" i="5"/>
  <c r="A52" i="5"/>
  <c r="A53" i="5"/>
  <c r="A54" i="5"/>
  <c r="A55" i="5"/>
  <c r="A56" i="5"/>
  <c r="A57" i="5"/>
  <c r="A58" i="5"/>
  <c r="A59" i="5"/>
  <c r="A60" i="5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5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02" i="5"/>
  <c r="A103" i="5"/>
  <c r="A104" i="5"/>
  <c r="A105" i="5"/>
  <c r="A106" i="5"/>
  <c r="A107" i="5"/>
  <c r="A108" i="5"/>
  <c r="A109" i="5"/>
  <c r="A110" i="5"/>
  <c r="A111" i="5"/>
  <c r="A112" i="5"/>
  <c r="A113" i="5"/>
  <c r="A114" i="5"/>
  <c r="A115" i="5"/>
  <c r="A116" i="5"/>
  <c r="A117" i="5"/>
  <c r="A118" i="5"/>
  <c r="A119" i="5"/>
  <c r="A120" i="5"/>
  <c r="A121" i="5"/>
  <c r="A122" i="5"/>
  <c r="A123" i="5"/>
  <c r="A124" i="5"/>
  <c r="A125" i="5"/>
  <c r="A126" i="5"/>
  <c r="A127" i="5"/>
  <c r="A128" i="5"/>
  <c r="A129" i="5"/>
  <c r="A130" i="5"/>
  <c r="A131" i="5"/>
  <c r="A132" i="5"/>
  <c r="A133" i="5"/>
  <c r="A134" i="5"/>
  <c r="A135" i="5"/>
  <c r="A136" i="5"/>
  <c r="A137" i="5"/>
  <c r="A138" i="5"/>
  <c r="A139" i="5"/>
  <c r="A140" i="5"/>
  <c r="A141" i="5"/>
  <c r="A142" i="5"/>
  <c r="A143" i="5"/>
  <c r="A144" i="5"/>
  <c r="A145" i="5"/>
  <c r="A146" i="5"/>
  <c r="A147" i="5"/>
  <c r="A148" i="5"/>
  <c r="A149" i="5"/>
  <c r="A150" i="5"/>
  <c r="A151" i="5"/>
  <c r="A152" i="5"/>
  <c r="A153" i="5"/>
  <c r="A154" i="5"/>
  <c r="A155" i="5"/>
  <c r="A156" i="5"/>
  <c r="A157" i="5"/>
  <c r="A158" i="5"/>
  <c r="A159" i="5"/>
  <c r="A160" i="5"/>
  <c r="A161" i="5"/>
  <c r="A162" i="5"/>
  <c r="A163" i="5"/>
  <c r="A164" i="5"/>
  <c r="A165" i="5"/>
  <c r="A166" i="5"/>
  <c r="A167" i="5"/>
  <c r="A168" i="5"/>
  <c r="A169" i="5"/>
  <c r="A170" i="5"/>
  <c r="A171" i="5"/>
  <c r="A172" i="5"/>
  <c r="A173" i="5"/>
  <c r="A174" i="5"/>
  <c r="A175" i="5"/>
  <c r="A176" i="5"/>
  <c r="A177" i="5"/>
  <c r="A178" i="5"/>
  <c r="A179" i="5"/>
  <c r="A180" i="5"/>
  <c r="A181" i="5"/>
  <c r="A182" i="5"/>
  <c r="A183" i="5"/>
  <c r="A184" i="5"/>
  <c r="A185" i="5"/>
  <c r="A186" i="5"/>
  <c r="A187" i="5"/>
  <c r="A188" i="5"/>
  <c r="A189" i="5"/>
  <c r="A190" i="5"/>
  <c r="A191" i="5"/>
  <c r="A192" i="5"/>
  <c r="A193" i="5"/>
  <c r="A194" i="5"/>
  <c r="A195" i="5"/>
  <c r="A196" i="5"/>
  <c r="A197" i="5"/>
  <c r="A198" i="5"/>
  <c r="A199" i="5"/>
  <c r="A200" i="5"/>
  <c r="A201" i="5"/>
  <c r="A202" i="5"/>
  <c r="A203" i="5"/>
  <c r="A204" i="5"/>
  <c r="A205" i="5"/>
  <c r="A206" i="5"/>
  <c r="A207" i="5"/>
  <c r="A208" i="5"/>
  <c r="A209" i="5"/>
  <c r="A210" i="5"/>
  <c r="A211" i="5"/>
  <c r="A212" i="5"/>
  <c r="A213" i="5"/>
  <c r="A214" i="5"/>
  <c r="A215" i="5"/>
  <c r="A216" i="5"/>
  <c r="A217" i="5"/>
  <c r="A218" i="5"/>
  <c r="A1" i="5"/>
  <c r="D166" i="6"/>
  <c r="D165" i="6"/>
  <c r="D164" i="6"/>
  <c r="D163" i="6"/>
  <c r="D162" i="6"/>
  <c r="D161" i="6"/>
  <c r="D160" i="6"/>
  <c r="D159" i="6"/>
  <c r="D158" i="6"/>
  <c r="D157" i="6"/>
  <c r="D156" i="6"/>
  <c r="D155" i="6"/>
  <c r="D154" i="6"/>
  <c r="D153" i="6"/>
  <c r="D152" i="6"/>
  <c r="D151" i="6"/>
  <c r="D150" i="6"/>
  <c r="D149" i="6"/>
  <c r="D148" i="6"/>
  <c r="D147" i="6"/>
  <c r="D146" i="6"/>
  <c r="D145" i="6"/>
  <c r="D144" i="6"/>
  <c r="D143" i="6"/>
  <c r="D142" i="6"/>
  <c r="D141" i="6"/>
  <c r="D140" i="6"/>
  <c r="D139" i="6"/>
  <c r="D138" i="6"/>
  <c r="D137" i="6"/>
  <c r="D136" i="6"/>
  <c r="D135" i="6"/>
  <c r="D134" i="6"/>
  <c r="D133" i="6"/>
  <c r="D132" i="6"/>
  <c r="D131" i="6"/>
  <c r="D130" i="6"/>
  <c r="D129" i="6"/>
  <c r="D128" i="6"/>
  <c r="D127" i="6"/>
  <c r="D126" i="6"/>
  <c r="D125" i="6"/>
  <c r="D124" i="6"/>
  <c r="D123" i="6"/>
  <c r="D122" i="6"/>
  <c r="D121" i="6"/>
  <c r="D120" i="6"/>
  <c r="D119" i="6"/>
  <c r="D118" i="6"/>
  <c r="D117" i="6"/>
  <c r="D116" i="6"/>
  <c r="D115" i="6"/>
  <c r="D114" i="6"/>
  <c r="D113" i="6"/>
  <c r="D112" i="6"/>
  <c r="D111" i="6"/>
  <c r="D110" i="6"/>
  <c r="D109" i="6"/>
  <c r="D108" i="6"/>
  <c r="D107" i="6"/>
  <c r="D106" i="6"/>
  <c r="D105" i="6"/>
  <c r="D104" i="6"/>
  <c r="D103" i="6"/>
  <c r="D102" i="6"/>
  <c r="D101" i="6"/>
  <c r="D100" i="6"/>
  <c r="D99" i="6"/>
  <c r="D98" i="6"/>
  <c r="D97" i="6"/>
  <c r="D96" i="6"/>
  <c r="D95" i="6"/>
  <c r="D94" i="6"/>
  <c r="D93" i="6"/>
  <c r="D92" i="6"/>
  <c r="D91" i="6"/>
  <c r="D90" i="6"/>
  <c r="D89" i="6"/>
  <c r="D88" i="6"/>
  <c r="D87" i="6"/>
  <c r="D86" i="6"/>
  <c r="D85" i="6"/>
  <c r="D84" i="6"/>
  <c r="D83" i="6"/>
  <c r="D82" i="6"/>
  <c r="D81" i="6"/>
  <c r="D80" i="6"/>
  <c r="D79" i="6"/>
  <c r="D78" i="6"/>
  <c r="D77" i="6"/>
  <c r="D76" i="6"/>
  <c r="D75" i="6"/>
  <c r="D74" i="6"/>
  <c r="D73" i="6"/>
  <c r="D72" i="6"/>
  <c r="D71" i="6"/>
  <c r="D70" i="6"/>
  <c r="D69" i="6"/>
  <c r="D68" i="6"/>
  <c r="D67" i="6"/>
  <c r="D66" i="6"/>
  <c r="D65" i="6"/>
  <c r="D64" i="6"/>
  <c r="D63" i="6"/>
  <c r="D62" i="6"/>
  <c r="D61" i="6"/>
  <c r="D60" i="6"/>
  <c r="D59" i="6"/>
  <c r="D58" i="6"/>
  <c r="D57" i="6"/>
  <c r="D56" i="6"/>
  <c r="D55" i="6"/>
  <c r="D54" i="6"/>
  <c r="D53" i="6"/>
  <c r="D52" i="6"/>
  <c r="D51" i="6"/>
  <c r="D50" i="6"/>
  <c r="D49" i="6"/>
  <c r="D48" i="6"/>
  <c r="D47" i="6"/>
  <c r="D46" i="6"/>
  <c r="D45" i="6"/>
  <c r="D44" i="6"/>
  <c r="D43" i="6"/>
  <c r="D42" i="6"/>
  <c r="D41" i="6"/>
  <c r="D40" i="6"/>
  <c r="D39" i="6"/>
  <c r="D38" i="6"/>
  <c r="D37" i="6"/>
  <c r="D36" i="6"/>
  <c r="D35" i="6"/>
  <c r="D34" i="6"/>
  <c r="D33" i="6"/>
  <c r="D32" i="6"/>
  <c r="D31" i="6"/>
  <c r="D30" i="6"/>
  <c r="D29" i="6"/>
  <c r="D28" i="6"/>
  <c r="D27" i="6"/>
  <c r="D26" i="6"/>
  <c r="D25" i="6"/>
  <c r="D24" i="6"/>
  <c r="D23" i="6"/>
  <c r="D22" i="6"/>
  <c r="D21" i="6"/>
  <c r="D20" i="6"/>
  <c r="D19" i="6"/>
  <c r="D18" i="6"/>
  <c r="D17" i="6"/>
  <c r="D16" i="6"/>
  <c r="D15" i="6"/>
  <c r="D14" i="6"/>
  <c r="D13" i="6"/>
  <c r="D12" i="6"/>
  <c r="D11" i="6"/>
  <c r="D10" i="6"/>
  <c r="D9" i="6"/>
  <c r="D8" i="6"/>
  <c r="D7" i="6"/>
  <c r="D6" i="6"/>
  <c r="D5" i="6"/>
  <c r="D4" i="6"/>
  <c r="D3" i="6"/>
  <c r="D2" i="6"/>
  <c r="K2" i="6" l="1"/>
  <c r="G20" i="5"/>
  <c r="G25" i="5"/>
  <c r="G14" i="5"/>
  <c r="G11" i="5"/>
  <c r="G31" i="5"/>
  <c r="G2" i="5"/>
  <c r="G10" i="5"/>
  <c r="G32" i="5"/>
  <c r="G35" i="5"/>
  <c r="G9" i="5"/>
  <c r="G29" i="5"/>
  <c r="G4" i="5"/>
  <c r="G27" i="5"/>
  <c r="G26" i="5"/>
  <c r="G23" i="5"/>
  <c r="G12" i="5"/>
  <c r="G22" i="5"/>
  <c r="G13" i="5"/>
  <c r="G34" i="5"/>
  <c r="G33" i="5"/>
  <c r="G18" i="5"/>
  <c r="G17" i="5"/>
  <c r="G7" i="5"/>
  <c r="G30" i="5"/>
  <c r="G3" i="5"/>
  <c r="G1" i="5"/>
  <c r="G16" i="5"/>
  <c r="G15" i="5"/>
  <c r="G28" i="5"/>
  <c r="G24" i="5"/>
  <c r="G8" i="5"/>
  <c r="G6" i="5"/>
  <c r="G21" i="5"/>
  <c r="G5" i="5"/>
  <c r="G19" i="5"/>
  <c r="G2" i="6"/>
  <c r="J2" i="6"/>
  <c r="E4" i="6"/>
  <c r="E108" i="6"/>
  <c r="I2" i="6"/>
  <c r="F2" i="6"/>
  <c r="H2" i="6"/>
  <c r="G3" i="6"/>
  <c r="H3" i="6"/>
  <c r="E2" i="6"/>
  <c r="E109" i="6"/>
  <c r="E3" i="6"/>
  <c r="E110" i="6"/>
  <c r="E107" i="6"/>
  <c r="E7" i="6" l="1"/>
  <c r="J6" i="6" s="1"/>
  <c r="H1" i="5"/>
  <c r="G5" i="6"/>
  <c r="H5" i="6"/>
  <c r="K6" i="6" l="1"/>
  <c r="F6" i="6"/>
  <c r="I6" i="6"/>
  <c r="G6" i="6"/>
  <c r="H6" i="6"/>
</calcChain>
</file>

<file path=xl/sharedStrings.xml><?xml version="1.0" encoding="utf-8"?>
<sst xmlns="http://schemas.openxmlformats.org/spreadsheetml/2006/main" count="234" uniqueCount="234">
  <si>
    <t>光照</t>
  </si>
  <si>
    <t>油污</t>
  </si>
  <si>
    <t>油漆</t>
  </si>
  <si>
    <t>1.bmp</t>
  </si>
  <si>
    <t>2.bmp</t>
  </si>
  <si>
    <t>3.bmp</t>
  </si>
  <si>
    <t>4.bmp</t>
  </si>
  <si>
    <t>5.bmp</t>
  </si>
  <si>
    <t>6.bmp</t>
  </si>
  <si>
    <t>7.bmp</t>
  </si>
  <si>
    <t>8.bmp</t>
  </si>
  <si>
    <t>9.bmp</t>
  </si>
  <si>
    <t>10.bmp</t>
  </si>
  <si>
    <t>11.bmp</t>
  </si>
  <si>
    <t>12.bmp</t>
  </si>
  <si>
    <t>13.bmp</t>
  </si>
  <si>
    <t>14.bmp</t>
  </si>
  <si>
    <t>15.bmp</t>
  </si>
  <si>
    <t>16.bmp</t>
  </si>
  <si>
    <t>17.bmp</t>
  </si>
  <si>
    <t>18.bmp</t>
  </si>
  <si>
    <t>19.bmp</t>
  </si>
  <si>
    <t>20.bmp</t>
  </si>
  <si>
    <t>21.bmp</t>
  </si>
  <si>
    <t>22.bmp</t>
  </si>
  <si>
    <t>23.bmp</t>
  </si>
  <si>
    <t>24.bmp</t>
  </si>
  <si>
    <t>25.bmp</t>
  </si>
  <si>
    <t>26.bmp</t>
  </si>
  <si>
    <t>27.bmp</t>
  </si>
  <si>
    <t>28.bmp</t>
  </si>
  <si>
    <t>29.bmp</t>
  </si>
  <si>
    <t>30.bmp</t>
  </si>
  <si>
    <t>31.bmp</t>
  </si>
  <si>
    <t>32.bmp</t>
  </si>
  <si>
    <t>33.bmp</t>
  </si>
  <si>
    <t>34.bmp</t>
  </si>
  <si>
    <t>35.bmp</t>
  </si>
  <si>
    <t>36.bmp</t>
  </si>
  <si>
    <t>37.bmp</t>
  </si>
  <si>
    <t>38.bmp</t>
  </si>
  <si>
    <t>39.bmp</t>
  </si>
  <si>
    <t>40.bmp</t>
  </si>
  <si>
    <t>41.bmp</t>
  </si>
  <si>
    <t>42.bmp</t>
  </si>
  <si>
    <t>43.bmp</t>
  </si>
  <si>
    <t>44.bmp</t>
  </si>
  <si>
    <t>45.bmp</t>
  </si>
  <si>
    <t>46.bmp</t>
  </si>
  <si>
    <t>47.bmp</t>
  </si>
  <si>
    <t>48.bmp</t>
  </si>
  <si>
    <t>49.bmp</t>
  </si>
  <si>
    <t>50.bmp</t>
  </si>
  <si>
    <t>51.bmp</t>
  </si>
  <si>
    <t>52.bmp</t>
  </si>
  <si>
    <t>53.bmp</t>
  </si>
  <si>
    <t>54.bmp</t>
  </si>
  <si>
    <t>55.bmp</t>
  </si>
  <si>
    <t>56.bmp</t>
  </si>
  <si>
    <t>57.bmp</t>
  </si>
  <si>
    <t>58.bmp</t>
  </si>
  <si>
    <t>59.bmp</t>
  </si>
  <si>
    <t>60.bmp</t>
  </si>
  <si>
    <t>61.bmp</t>
  </si>
  <si>
    <t>62.bmp</t>
  </si>
  <si>
    <t>63.bmp</t>
  </si>
  <si>
    <t>64.bmp</t>
  </si>
  <si>
    <t>65.bmp</t>
  </si>
  <si>
    <t>66.bmp</t>
  </si>
  <si>
    <t>67.bmp</t>
  </si>
  <si>
    <t>68.bmp</t>
  </si>
  <si>
    <t>69.bmp</t>
  </si>
  <si>
    <t>70.bmp</t>
  </si>
  <si>
    <t>71.bmp</t>
  </si>
  <si>
    <t>72.bmp</t>
  </si>
  <si>
    <t>73.bmp</t>
  </si>
  <si>
    <t>74.bmp</t>
  </si>
  <si>
    <t>75.bmp</t>
  </si>
  <si>
    <t>76.bmp</t>
  </si>
  <si>
    <t>77.bmp</t>
  </si>
  <si>
    <t>78.bmp</t>
  </si>
  <si>
    <t>79.bmp</t>
  </si>
  <si>
    <t>80.bmp</t>
  </si>
  <si>
    <t>81.bmp</t>
  </si>
  <si>
    <t>82.bmp</t>
  </si>
  <si>
    <t>83.bmp</t>
  </si>
  <si>
    <t>84.bmp</t>
  </si>
  <si>
    <t>85.bmp</t>
  </si>
  <si>
    <t>86.bmp</t>
  </si>
  <si>
    <t>87.bmp</t>
  </si>
  <si>
    <t>88.bmp</t>
  </si>
  <si>
    <t>89.bmp</t>
  </si>
  <si>
    <t>90.bmp</t>
  </si>
  <si>
    <t>91.bmp</t>
  </si>
  <si>
    <t>92.bmp</t>
  </si>
  <si>
    <t>93.bmp</t>
  </si>
  <si>
    <t>94.bmp</t>
  </si>
  <si>
    <t>95.bmp</t>
  </si>
  <si>
    <t>96.bmp</t>
  </si>
  <si>
    <t>97.bmp</t>
  </si>
  <si>
    <t>98.bmp</t>
  </si>
  <si>
    <t>99.bmp</t>
  </si>
  <si>
    <t>130.bmp</t>
  </si>
  <si>
    <t>131.bmp</t>
  </si>
  <si>
    <t>132.bmp</t>
  </si>
  <si>
    <t>133.bmp</t>
  </si>
  <si>
    <t>134.bmp</t>
  </si>
  <si>
    <t>135.bmp</t>
  </si>
  <si>
    <t>136.bmp</t>
  </si>
  <si>
    <t>137.bmp</t>
  </si>
  <si>
    <t>138.bmp</t>
  </si>
  <si>
    <t>139.bmp</t>
  </si>
  <si>
    <t>140.bmp</t>
  </si>
  <si>
    <t>141.bmp</t>
  </si>
  <si>
    <t>142.bmp</t>
  </si>
  <si>
    <t>143.bmp</t>
  </si>
  <si>
    <t>144.bmp</t>
  </si>
  <si>
    <t>145.bmp</t>
  </si>
  <si>
    <t>146.bmp</t>
  </si>
  <si>
    <t>147.bmp</t>
  </si>
  <si>
    <t>148.bmp</t>
  </si>
  <si>
    <t>149.bmp</t>
  </si>
  <si>
    <t>150.bmp</t>
  </si>
  <si>
    <t>151.bmp</t>
  </si>
  <si>
    <t>152.bmp</t>
  </si>
  <si>
    <t>153.bmp</t>
  </si>
  <si>
    <t>154.bmp</t>
  </si>
  <si>
    <t>155.bmp</t>
  </si>
  <si>
    <t>156.bmp</t>
  </si>
  <si>
    <t>157.bmp</t>
  </si>
  <si>
    <t>158.bmp</t>
  </si>
  <si>
    <t>159.bmp</t>
  </si>
  <si>
    <t>160.bmp</t>
  </si>
  <si>
    <t>161.bmp</t>
  </si>
  <si>
    <t>162.bmp</t>
  </si>
  <si>
    <t>163.bmp</t>
  </si>
  <si>
    <t>164.bmp</t>
  </si>
  <si>
    <t>165.bmp</t>
  </si>
  <si>
    <t>图片</t>
  </si>
  <si>
    <t>高度</t>
  </si>
  <si>
    <t>原值</t>
  </si>
  <si>
    <t>差</t>
  </si>
  <si>
    <t>正常平均</t>
  </si>
  <si>
    <t>遮挡20</t>
  </si>
  <si>
    <t>遮挡50</t>
  </si>
  <si>
    <t>166.bmp</t>
  </si>
  <si>
    <t>167.bmp</t>
  </si>
  <si>
    <t>168.bmp</t>
  </si>
  <si>
    <t>169.bmp</t>
  </si>
  <si>
    <t>170.bmp</t>
  </si>
  <si>
    <t>171.bmp</t>
  </si>
  <si>
    <t>172.bmp</t>
  </si>
  <si>
    <t>173.bmp</t>
  </si>
  <si>
    <t>174.bmp</t>
  </si>
  <si>
    <t>175.bmp</t>
  </si>
  <si>
    <t>176.bmp</t>
  </si>
  <si>
    <t>177.bmp</t>
  </si>
  <si>
    <t>178.bmp</t>
  </si>
  <si>
    <t>179.bmp</t>
  </si>
  <si>
    <t>180.bmp</t>
  </si>
  <si>
    <t>181.bmp</t>
  </si>
  <si>
    <t>182.bmp</t>
  </si>
  <si>
    <t>183.bmp</t>
  </si>
  <si>
    <t>184.bmp</t>
  </si>
  <si>
    <t>185.bmp</t>
  </si>
  <si>
    <t>186.bmp</t>
  </si>
  <si>
    <t>187.bmp</t>
  </si>
  <si>
    <t>188.bmp</t>
  </si>
  <si>
    <t>189.bmp</t>
  </si>
  <si>
    <t>191.bmp</t>
  </si>
  <si>
    <t>192.bmp</t>
  </si>
  <si>
    <t>193.bmp</t>
  </si>
  <si>
    <t>194.bmp</t>
  </si>
  <si>
    <t>195.bmp</t>
  </si>
  <si>
    <t>196.bmp</t>
  </si>
  <si>
    <t>197.bmp</t>
  </si>
  <si>
    <t>198.bmp</t>
  </si>
  <si>
    <t>199.bmp</t>
  </si>
  <si>
    <t>200.bmp</t>
  </si>
  <si>
    <t>201.bmp</t>
  </si>
  <si>
    <t>202.bmp</t>
  </si>
  <si>
    <t>203.bmp</t>
  </si>
  <si>
    <t>204.bmp</t>
  </si>
  <si>
    <t>205.bmp</t>
  </si>
  <si>
    <t>206.bmp</t>
  </si>
  <si>
    <t>207.bmp</t>
  </si>
  <si>
    <t>208.bmp</t>
  </si>
  <si>
    <t>209.bmp</t>
  </si>
  <si>
    <t>210.bmp</t>
  </si>
  <si>
    <t>211.bmp</t>
  </si>
  <si>
    <t>212.bmp</t>
  </si>
  <si>
    <t>213.bmp</t>
  </si>
  <si>
    <t>214.bmp</t>
  </si>
  <si>
    <t>215.bmp</t>
  </si>
  <si>
    <t>216.bmp</t>
  </si>
  <si>
    <t>217.bmp</t>
  </si>
  <si>
    <t>218.bmp</t>
  </si>
  <si>
    <t>219.bmp</t>
  </si>
  <si>
    <t>训练集</t>
    <phoneticPr fontId="2" type="noConversion"/>
  </si>
  <si>
    <t>验证集</t>
    <phoneticPr fontId="2" type="noConversion"/>
  </si>
  <si>
    <t>测试集</t>
    <phoneticPr fontId="2" type="noConversion"/>
  </si>
  <si>
    <t>平均</t>
    <phoneticPr fontId="2" type="noConversion"/>
  </si>
  <si>
    <t>标准差</t>
    <phoneticPr fontId="2" type="noConversion"/>
  </si>
  <si>
    <t>100.bmp</t>
  </si>
  <si>
    <t>101.bmp</t>
  </si>
  <si>
    <t>102.bmp</t>
  </si>
  <si>
    <t>103.bmp</t>
  </si>
  <si>
    <t>104.bmp</t>
  </si>
  <si>
    <t>105.bmp</t>
  </si>
  <si>
    <t>106.bmp</t>
  </si>
  <si>
    <t>107.bmp</t>
  </si>
  <si>
    <t>108.bmp</t>
  </si>
  <si>
    <t>109.bmp</t>
  </si>
  <si>
    <t>110.bmp</t>
  </si>
  <si>
    <t>111.bmp</t>
  </si>
  <si>
    <t>112.bmp</t>
  </si>
  <si>
    <t>113.bmp</t>
  </si>
  <si>
    <t>114.bmp</t>
  </si>
  <si>
    <t>115.bmp</t>
  </si>
  <si>
    <t>116.bmp</t>
  </si>
  <si>
    <t>117.bmp</t>
  </si>
  <si>
    <t>118.bmp</t>
  </si>
  <si>
    <t>119.bmp</t>
  </si>
  <si>
    <t>120.bmp</t>
  </si>
  <si>
    <t>121.bmp</t>
  </si>
  <si>
    <t>122.bmp</t>
  </si>
  <si>
    <t>123.bmp</t>
  </si>
  <si>
    <t>124.bmp</t>
  </si>
  <si>
    <t>125.bmp</t>
  </si>
  <si>
    <t>126.bmp</t>
  </si>
  <si>
    <t>127.bmp</t>
  </si>
  <si>
    <t>128.bmp</t>
  </si>
  <si>
    <t>129.bmp</t>
  </si>
  <si>
    <t>钢板高反射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</si>
</sst>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);[Red]\(0\)"/>
    <numFmt numFmtId="177" formatCode="0_ "/>
  </numFmts>
  <fonts count="4" x14ac:knownFonts="1">
    <font>
      <sz val="11"/>
      <color theme="1"/>
      <name val="等线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9.8000000000000007"/>
      <color rgb="FFBCBEC4"/>
      <name val="Courier New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vertical="center"/>
    </xf>
    <xf numFmtId="0" fontId="0" fillId="2" borderId="0" xfId="0" applyFill="1"/>
    <xf numFmtId="0" fontId="0" fillId="3" borderId="0" xfId="0" applyFill="1"/>
    <xf numFmtId="176" fontId="0" fillId="0" borderId="0" xfId="0" applyNumberFormat="1"/>
    <xf numFmtId="0" fontId="1" fillId="0" borderId="0" xfId="0" applyFont="1" applyAlignment="1">
      <alignment vertical="center"/>
    </xf>
    <xf numFmtId="177" fontId="0" fillId="0" borderId="0" xfId="0" applyNumberFormat="1" applyAlignment="1">
      <alignment vertical="center"/>
    </xf>
    <xf numFmtId="0" fontId="0" fillId="0" borderId="0" xfId="0" quotePrefix="1"/>
    <xf numFmtId="0" fontId="1" fillId="0" borderId="0" xfId="0" applyFont="1"/>
    <xf numFmtId="0" fontId="3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18"/>
  <sheetViews>
    <sheetView topLeftCell="A161" workbookViewId="0">
      <selection activeCell="E1" sqref="E1:E218"/>
    </sheetView>
  </sheetViews>
  <sheetFormatPr defaultColWidth="9" defaultRowHeight="13.9" x14ac:dyDescent="0.4"/>
  <cols>
    <col min="3" max="3" width="24" customWidth="1"/>
  </cols>
  <sheetData>
    <row r="1" spans="1:10" x14ac:dyDescent="0.4">
      <c r="A1" s="6">
        <f>VALUE(LEFT(B1,FIND(".",B1)-1))</f>
        <v>1</v>
      </c>
      <c r="B1" t="s">
        <v>3</v>
      </c>
      <c r="C1" s="7">
        <v>1.3192458152770901</v>
      </c>
      <c r="D1">
        <v>1</v>
      </c>
      <c r="E1">
        <f>VLOOKUP(D1,A$1:C$218,3,0)</f>
        <v>1.3192458152770901</v>
      </c>
      <c r="F1" s="1">
        <v>1.75</v>
      </c>
      <c r="G1">
        <f>ABS(E1-F1)</f>
        <v>0.43075418472290994</v>
      </c>
      <c r="H1">
        <f>AVERAGE(G1:G35)</f>
        <v>1.1726001630510616</v>
      </c>
      <c r="J1">
        <v>7.8051960127692818E-2</v>
      </c>
    </row>
    <row r="2" spans="1:10" x14ac:dyDescent="0.4">
      <c r="A2" s="6">
        <f t="shared" ref="A2:A65" si="0">VALUE(LEFT(B2,FIND(".",B2)-1))</f>
        <v>10</v>
      </c>
      <c r="B2" t="s">
        <v>12</v>
      </c>
      <c r="C2">
        <v>4.3829636573791504</v>
      </c>
      <c r="D2">
        <v>2</v>
      </c>
      <c r="E2">
        <f t="shared" ref="E2:E65" si="1">VLOOKUP(D2,A$1:C$218,3,0)</f>
        <v>1.3474656343460001</v>
      </c>
      <c r="F2" s="1">
        <v>2.75</v>
      </c>
      <c r="G2">
        <f t="shared" ref="G2:G35" si="2">ABS(E2-F2)</f>
        <v>1.4025343656539999</v>
      </c>
      <c r="J2">
        <v>7.8716764450073098E-2</v>
      </c>
    </row>
    <row r="3" spans="1:10" x14ac:dyDescent="0.4">
      <c r="A3" s="6">
        <f t="shared" si="0"/>
        <v>100</v>
      </c>
      <c r="B3" t="s">
        <v>203</v>
      </c>
      <c r="C3">
        <v>4.4669780731201101</v>
      </c>
      <c r="D3">
        <v>3</v>
      </c>
      <c r="E3">
        <f t="shared" si="1"/>
        <v>1.3594604730605999</v>
      </c>
      <c r="F3" s="1">
        <v>3.75</v>
      </c>
      <c r="G3">
        <f t="shared" si="2"/>
        <v>2.3905395269394001</v>
      </c>
      <c r="J3">
        <v>7.5242156982423411E-2</v>
      </c>
    </row>
    <row r="4" spans="1:10" x14ac:dyDescent="0.4">
      <c r="A4" s="6">
        <f t="shared" si="0"/>
        <v>101</v>
      </c>
      <c r="B4" t="s">
        <v>204</v>
      </c>
      <c r="C4">
        <v>4.4214282035827601</v>
      </c>
      <c r="D4">
        <v>4</v>
      </c>
      <c r="E4">
        <f t="shared" si="1"/>
        <v>2.0005588531494101</v>
      </c>
      <c r="F4" s="1">
        <v>4.75</v>
      </c>
      <c r="G4">
        <f t="shared" si="2"/>
        <v>2.7494411468505899</v>
      </c>
      <c r="J4">
        <v>8.1414423670086472E-2</v>
      </c>
    </row>
    <row r="5" spans="1:10" x14ac:dyDescent="0.4">
      <c r="A5" s="6">
        <f t="shared" si="0"/>
        <v>102</v>
      </c>
      <c r="B5" t="s">
        <v>205</v>
      </c>
      <c r="C5">
        <v>4.5451426506042401</v>
      </c>
      <c r="D5">
        <v>5</v>
      </c>
      <c r="E5">
        <f t="shared" si="1"/>
        <v>2.1093618869781401</v>
      </c>
      <c r="F5" s="1">
        <v>5.75</v>
      </c>
      <c r="G5">
        <f t="shared" si="2"/>
        <v>3.6406381130218599</v>
      </c>
    </row>
    <row r="6" spans="1:10" x14ac:dyDescent="0.4">
      <c r="A6" s="6">
        <f t="shared" si="0"/>
        <v>103</v>
      </c>
      <c r="B6" t="s">
        <v>206</v>
      </c>
      <c r="C6">
        <v>5.7601466178893999</v>
      </c>
      <c r="D6">
        <v>6</v>
      </c>
      <c r="E6">
        <f t="shared" si="1"/>
        <v>2.0467348098754798</v>
      </c>
      <c r="F6" s="1">
        <v>2.2999999999999998</v>
      </c>
      <c r="G6">
        <f t="shared" si="2"/>
        <v>0.25326519012451998</v>
      </c>
    </row>
    <row r="7" spans="1:10" x14ac:dyDescent="0.4">
      <c r="A7" s="6">
        <f t="shared" si="0"/>
        <v>104</v>
      </c>
      <c r="B7" t="s">
        <v>207</v>
      </c>
      <c r="C7">
        <v>5.7472381591796804</v>
      </c>
      <c r="D7">
        <v>7</v>
      </c>
      <c r="E7">
        <f t="shared" si="1"/>
        <v>2.79462218284606</v>
      </c>
      <c r="F7" s="1">
        <v>3</v>
      </c>
      <c r="G7">
        <f t="shared" si="2"/>
        <v>0.20537781715393999</v>
      </c>
    </row>
    <row r="8" spans="1:10" x14ac:dyDescent="0.4">
      <c r="A8" s="6">
        <f t="shared" si="0"/>
        <v>105</v>
      </c>
      <c r="B8" t="s">
        <v>208</v>
      </c>
      <c r="C8">
        <v>5.82120561599731</v>
      </c>
      <c r="D8">
        <v>8</v>
      </c>
      <c r="E8">
        <f t="shared" si="1"/>
        <v>2.9235572814941402</v>
      </c>
      <c r="F8" s="1">
        <v>3.7</v>
      </c>
      <c r="G8">
        <f t="shared" si="2"/>
        <v>0.77644271850586</v>
      </c>
    </row>
    <row r="9" spans="1:10" x14ac:dyDescent="0.4">
      <c r="A9" s="6">
        <f t="shared" si="0"/>
        <v>106</v>
      </c>
      <c r="B9" t="s">
        <v>209</v>
      </c>
      <c r="C9">
        <v>1.2754000425338701</v>
      </c>
      <c r="D9">
        <v>9</v>
      </c>
      <c r="E9">
        <f t="shared" si="1"/>
        <v>2.9410607814788801</v>
      </c>
      <c r="F9" s="1">
        <v>4.4000000000000004</v>
      </c>
      <c r="G9">
        <f t="shared" si="2"/>
        <v>1.4589392185211203</v>
      </c>
    </row>
    <row r="10" spans="1:10" x14ac:dyDescent="0.4">
      <c r="A10" s="6">
        <f t="shared" si="0"/>
        <v>107</v>
      </c>
      <c r="B10" t="s">
        <v>210</v>
      </c>
      <c r="C10">
        <v>1.2989531755447301</v>
      </c>
      <c r="D10">
        <v>10</v>
      </c>
      <c r="E10">
        <f t="shared" si="1"/>
        <v>4.3829636573791504</v>
      </c>
      <c r="F10" s="1">
        <v>5.0999999999999996</v>
      </c>
      <c r="G10">
        <f t="shared" si="2"/>
        <v>0.71703634262084925</v>
      </c>
    </row>
    <row r="11" spans="1:10" x14ac:dyDescent="0.4">
      <c r="A11" s="6">
        <f t="shared" si="0"/>
        <v>108</v>
      </c>
      <c r="B11" t="s">
        <v>211</v>
      </c>
      <c r="C11">
        <v>1.2479541301727199</v>
      </c>
      <c r="D11">
        <v>11</v>
      </c>
      <c r="E11">
        <f t="shared" si="1"/>
        <v>4.3020119667053196</v>
      </c>
      <c r="F11" s="1">
        <v>3</v>
      </c>
      <c r="G11">
        <f t="shared" si="2"/>
        <v>1.3020119667053196</v>
      </c>
    </row>
    <row r="12" spans="1:10" x14ac:dyDescent="0.4">
      <c r="A12" s="6">
        <f t="shared" si="0"/>
        <v>109</v>
      </c>
      <c r="B12" t="s">
        <v>212</v>
      </c>
      <c r="C12">
        <v>1.66988766193389</v>
      </c>
      <c r="D12">
        <v>12</v>
      </c>
      <c r="E12">
        <f t="shared" si="1"/>
        <v>4.34675693511962</v>
      </c>
      <c r="F12" s="1">
        <v>3.8</v>
      </c>
      <c r="G12">
        <f t="shared" si="2"/>
        <v>0.5467569351196202</v>
      </c>
    </row>
    <row r="13" spans="1:10" x14ac:dyDescent="0.4">
      <c r="A13" s="6">
        <f t="shared" si="0"/>
        <v>11</v>
      </c>
      <c r="B13" t="s">
        <v>13</v>
      </c>
      <c r="C13">
        <v>4.3020119667053196</v>
      </c>
      <c r="D13">
        <v>13</v>
      </c>
      <c r="E13">
        <f t="shared" si="1"/>
        <v>5.1617941856384197</v>
      </c>
      <c r="F13" s="1">
        <v>4.5999999999999996</v>
      </c>
      <c r="G13">
        <f t="shared" si="2"/>
        <v>0.5617941856384201</v>
      </c>
    </row>
    <row r="14" spans="1:10" x14ac:dyDescent="0.4">
      <c r="A14" s="6">
        <f t="shared" si="0"/>
        <v>110</v>
      </c>
      <c r="B14" t="s">
        <v>213</v>
      </c>
      <c r="C14" s="7">
        <v>1.5427103042602499</v>
      </c>
      <c r="D14">
        <v>14</v>
      </c>
      <c r="E14">
        <f t="shared" si="1"/>
        <v>5.1002330780029297</v>
      </c>
      <c r="F14" s="1">
        <v>5.4</v>
      </c>
      <c r="G14">
        <f t="shared" si="2"/>
        <v>0.29976692199707067</v>
      </c>
    </row>
    <row r="15" spans="1:10" x14ac:dyDescent="0.4">
      <c r="A15" s="6">
        <f t="shared" si="0"/>
        <v>111</v>
      </c>
      <c r="B15" t="s">
        <v>214</v>
      </c>
      <c r="C15" s="7">
        <v>1.5876533985137899</v>
      </c>
      <c r="D15">
        <v>15</v>
      </c>
      <c r="E15">
        <f t="shared" si="1"/>
        <v>5.14001417160034</v>
      </c>
      <c r="F15" s="1">
        <v>6.2</v>
      </c>
      <c r="G15">
        <f t="shared" si="2"/>
        <v>1.0599858283996602</v>
      </c>
    </row>
    <row r="16" spans="1:10" x14ac:dyDescent="0.4">
      <c r="A16" s="6">
        <f t="shared" si="0"/>
        <v>112</v>
      </c>
      <c r="B16" t="s">
        <v>215</v>
      </c>
      <c r="C16">
        <v>2.1982161998748699</v>
      </c>
      <c r="D16">
        <v>16</v>
      </c>
      <c r="E16">
        <f t="shared" si="1"/>
        <v>2.2308943271636901</v>
      </c>
      <c r="F16" s="1">
        <v>1.2</v>
      </c>
      <c r="G16">
        <f t="shared" si="2"/>
        <v>1.0308943271636901</v>
      </c>
    </row>
    <row r="17" spans="1:7" x14ac:dyDescent="0.4">
      <c r="A17" s="6">
        <f t="shared" si="0"/>
        <v>113</v>
      </c>
      <c r="B17" t="s">
        <v>216</v>
      </c>
      <c r="C17">
        <v>2.4924468994140598</v>
      </c>
      <c r="D17">
        <v>17</v>
      </c>
      <c r="E17">
        <f t="shared" si="1"/>
        <v>2.24667024612426</v>
      </c>
      <c r="F17" s="1">
        <v>2.15</v>
      </c>
      <c r="G17">
        <f t="shared" si="2"/>
        <v>9.6670246124260117E-2</v>
      </c>
    </row>
    <row r="18" spans="1:7" x14ac:dyDescent="0.4">
      <c r="A18" s="6">
        <f t="shared" si="0"/>
        <v>114</v>
      </c>
      <c r="B18" t="s">
        <v>217</v>
      </c>
      <c r="C18">
        <v>2.4262347221374498</v>
      </c>
      <c r="D18">
        <v>18</v>
      </c>
      <c r="E18">
        <f t="shared" si="1"/>
        <v>2.2331242561340301</v>
      </c>
      <c r="F18" s="1">
        <v>3.15</v>
      </c>
      <c r="G18">
        <f t="shared" si="2"/>
        <v>0.91687574386596982</v>
      </c>
    </row>
    <row r="19" spans="1:7" x14ac:dyDescent="0.4">
      <c r="A19" s="6">
        <f t="shared" si="0"/>
        <v>115</v>
      </c>
      <c r="B19" t="s">
        <v>218</v>
      </c>
      <c r="C19">
        <v>4.0292658805847097</v>
      </c>
      <c r="D19">
        <v>19</v>
      </c>
      <c r="E19">
        <f t="shared" si="1"/>
        <v>3.2692248821258501</v>
      </c>
      <c r="F19" s="1">
        <v>4.1500000000000004</v>
      </c>
      <c r="G19">
        <f t="shared" si="2"/>
        <v>0.8807751178741503</v>
      </c>
    </row>
    <row r="20" spans="1:7" x14ac:dyDescent="0.4">
      <c r="A20" s="6">
        <f t="shared" si="0"/>
        <v>116</v>
      </c>
      <c r="B20" t="s">
        <v>219</v>
      </c>
      <c r="C20">
        <v>3.8750190734863201</v>
      </c>
      <c r="D20">
        <v>20</v>
      </c>
      <c r="E20">
        <f t="shared" si="1"/>
        <v>3.3124475479125901</v>
      </c>
      <c r="F20" s="1">
        <v>5.15</v>
      </c>
      <c r="G20">
        <f t="shared" si="2"/>
        <v>1.8375524520874102</v>
      </c>
    </row>
    <row r="21" spans="1:7" x14ac:dyDescent="0.4">
      <c r="A21" s="6">
        <f t="shared" si="0"/>
        <v>117</v>
      </c>
      <c r="B21" t="s">
        <v>220</v>
      </c>
      <c r="C21">
        <v>3.9516696929931601</v>
      </c>
      <c r="D21">
        <v>21</v>
      </c>
      <c r="E21">
        <f t="shared" si="1"/>
        <v>3.3099379539489702</v>
      </c>
      <c r="F21" s="1">
        <v>1.2</v>
      </c>
      <c r="G21">
        <f t="shared" si="2"/>
        <v>2.10993795394897</v>
      </c>
    </row>
    <row r="22" spans="1:7" x14ac:dyDescent="0.4">
      <c r="A22" s="6">
        <f t="shared" si="0"/>
        <v>118</v>
      </c>
      <c r="B22" t="s">
        <v>221</v>
      </c>
      <c r="C22">
        <v>4.9376564025878897</v>
      </c>
      <c r="D22">
        <v>22</v>
      </c>
      <c r="E22">
        <f t="shared" si="1"/>
        <v>3.86675548553466</v>
      </c>
      <c r="F22" s="1">
        <v>2.15</v>
      </c>
      <c r="G22">
        <f t="shared" si="2"/>
        <v>1.7167554855346601</v>
      </c>
    </row>
    <row r="23" spans="1:7" x14ac:dyDescent="0.4">
      <c r="A23" s="6">
        <f t="shared" si="0"/>
        <v>119</v>
      </c>
      <c r="B23" t="s">
        <v>222</v>
      </c>
      <c r="C23">
        <v>4.8352952003479004</v>
      </c>
      <c r="D23">
        <v>23</v>
      </c>
      <c r="E23">
        <f t="shared" si="1"/>
        <v>3.7433125972747798</v>
      </c>
      <c r="F23" s="1">
        <v>3.15</v>
      </c>
      <c r="G23">
        <f t="shared" si="2"/>
        <v>0.59331259727477992</v>
      </c>
    </row>
    <row r="24" spans="1:7" x14ac:dyDescent="0.4">
      <c r="A24" s="6">
        <f t="shared" si="0"/>
        <v>12</v>
      </c>
      <c r="B24" t="s">
        <v>14</v>
      </c>
      <c r="C24" s="7">
        <v>4.34675693511962</v>
      </c>
      <c r="D24">
        <v>24</v>
      </c>
      <c r="E24">
        <f t="shared" si="1"/>
        <v>3.7545721530914302</v>
      </c>
      <c r="F24" s="1">
        <v>4.1500000000000004</v>
      </c>
      <c r="G24">
        <f t="shared" si="2"/>
        <v>0.39542784690857014</v>
      </c>
    </row>
    <row r="25" spans="1:7" x14ac:dyDescent="0.4">
      <c r="A25" s="6">
        <f t="shared" si="0"/>
        <v>120</v>
      </c>
      <c r="B25" t="s">
        <v>223</v>
      </c>
      <c r="C25" s="7">
        <v>4.9688858985900799</v>
      </c>
      <c r="D25">
        <v>25</v>
      </c>
      <c r="E25">
        <f t="shared" si="1"/>
        <v>4.3893666267395002</v>
      </c>
      <c r="F25" s="1">
        <v>5.15</v>
      </c>
      <c r="G25">
        <f t="shared" si="2"/>
        <v>0.76063337326050018</v>
      </c>
    </row>
    <row r="26" spans="1:7" x14ac:dyDescent="0.4">
      <c r="A26" s="6">
        <f t="shared" si="0"/>
        <v>121</v>
      </c>
      <c r="B26" t="s">
        <v>224</v>
      </c>
      <c r="C26" s="7">
        <v>2.5030860900878902</v>
      </c>
      <c r="D26">
        <v>26</v>
      </c>
      <c r="E26">
        <f t="shared" si="1"/>
        <v>4.51643514633178</v>
      </c>
      <c r="F26" s="1">
        <v>1.75</v>
      </c>
      <c r="G26">
        <f t="shared" si="2"/>
        <v>2.76643514633178</v>
      </c>
    </row>
    <row r="27" spans="1:7" x14ac:dyDescent="0.4">
      <c r="A27" s="6">
        <f t="shared" si="0"/>
        <v>122</v>
      </c>
      <c r="B27" t="s">
        <v>225</v>
      </c>
      <c r="C27">
        <v>2.5212483406066801</v>
      </c>
      <c r="D27">
        <v>27</v>
      </c>
      <c r="E27">
        <f t="shared" si="1"/>
        <v>4.4374155998229901</v>
      </c>
      <c r="F27" s="1">
        <v>2.75</v>
      </c>
      <c r="G27">
        <f t="shared" si="2"/>
        <v>1.6874155998229901</v>
      </c>
    </row>
    <row r="28" spans="1:7" x14ac:dyDescent="0.4">
      <c r="A28" s="6">
        <f t="shared" si="0"/>
        <v>123</v>
      </c>
      <c r="B28" t="s">
        <v>226</v>
      </c>
      <c r="C28">
        <v>2.5824694633483798</v>
      </c>
      <c r="D28">
        <v>28</v>
      </c>
      <c r="E28">
        <f t="shared" si="1"/>
        <v>5.25701808929443</v>
      </c>
      <c r="F28" s="1">
        <v>3.75</v>
      </c>
      <c r="G28">
        <f t="shared" si="2"/>
        <v>1.50701808929443</v>
      </c>
    </row>
    <row r="29" spans="1:7" x14ac:dyDescent="0.4">
      <c r="A29" s="6">
        <f t="shared" si="0"/>
        <v>124</v>
      </c>
      <c r="B29" t="s">
        <v>227</v>
      </c>
      <c r="C29">
        <v>3.1651434898376398</v>
      </c>
      <c r="D29">
        <v>29</v>
      </c>
      <c r="E29">
        <f t="shared" si="1"/>
        <v>5.1813087463378897</v>
      </c>
      <c r="F29" s="1">
        <v>4.75</v>
      </c>
      <c r="G29">
        <f t="shared" si="2"/>
        <v>0.43130874633788974</v>
      </c>
    </row>
    <row r="30" spans="1:7" x14ac:dyDescent="0.4">
      <c r="A30" s="6">
        <f t="shared" si="0"/>
        <v>125</v>
      </c>
      <c r="B30" t="s">
        <v>228</v>
      </c>
      <c r="C30">
        <v>3.1283991336822501</v>
      </c>
      <c r="D30">
        <v>30</v>
      </c>
      <c r="E30">
        <f t="shared" si="1"/>
        <v>5.1809606552123997</v>
      </c>
      <c r="F30" s="1">
        <v>5.75</v>
      </c>
      <c r="G30">
        <f t="shared" si="2"/>
        <v>0.56903934478760032</v>
      </c>
    </row>
    <row r="31" spans="1:7" x14ac:dyDescent="0.4">
      <c r="A31" s="6">
        <f t="shared" si="0"/>
        <v>126</v>
      </c>
      <c r="B31" t="s">
        <v>229</v>
      </c>
      <c r="C31">
        <v>3.2233016490936199</v>
      </c>
      <c r="D31">
        <v>31</v>
      </c>
      <c r="E31">
        <f t="shared" si="1"/>
        <v>2.24960064888</v>
      </c>
      <c r="F31" s="1">
        <v>2.2999999999999998</v>
      </c>
      <c r="G31">
        <f t="shared" si="2"/>
        <v>5.0399351119999825E-2</v>
      </c>
    </row>
    <row r="32" spans="1:7" x14ac:dyDescent="0.4">
      <c r="A32" s="6">
        <f t="shared" si="0"/>
        <v>127</v>
      </c>
      <c r="B32" t="s">
        <v>230</v>
      </c>
      <c r="C32">
        <v>3.8802719116210902</v>
      </c>
      <c r="D32">
        <v>32</v>
      </c>
      <c r="E32">
        <f t="shared" si="1"/>
        <v>2.2393319606781001</v>
      </c>
      <c r="F32" s="1">
        <v>3</v>
      </c>
      <c r="G32">
        <f t="shared" si="2"/>
        <v>0.76066803932189986</v>
      </c>
    </row>
    <row r="33" spans="1:7" x14ac:dyDescent="0.4">
      <c r="A33" s="6">
        <f t="shared" si="0"/>
        <v>128</v>
      </c>
      <c r="B33" t="s">
        <v>231</v>
      </c>
      <c r="C33">
        <v>3.9429235458374001</v>
      </c>
      <c r="D33">
        <v>33</v>
      </c>
      <c r="E33">
        <f t="shared" si="1"/>
        <v>2.2790434360504102</v>
      </c>
      <c r="F33" s="1">
        <v>3.7</v>
      </c>
      <c r="G33">
        <f t="shared" si="2"/>
        <v>1.42095656394959</v>
      </c>
    </row>
    <row r="34" spans="1:7" x14ac:dyDescent="0.4">
      <c r="A34" s="6">
        <f t="shared" si="0"/>
        <v>129</v>
      </c>
      <c r="B34" t="s">
        <v>232</v>
      </c>
      <c r="C34">
        <v>3.9114933013915998</v>
      </c>
      <c r="D34">
        <v>34</v>
      </c>
      <c r="E34">
        <f t="shared" si="1"/>
        <v>2.85813856124877</v>
      </c>
      <c r="F34" s="1">
        <v>4.4000000000000004</v>
      </c>
      <c r="G34">
        <f t="shared" si="2"/>
        <v>1.5418614387512304</v>
      </c>
    </row>
    <row r="35" spans="1:7" x14ac:dyDescent="0.4">
      <c r="A35" s="6">
        <f t="shared" si="0"/>
        <v>13</v>
      </c>
      <c r="B35" t="s">
        <v>15</v>
      </c>
      <c r="C35">
        <v>5.1617941856384197</v>
      </c>
      <c r="D35">
        <v>35</v>
      </c>
      <c r="E35">
        <f t="shared" si="1"/>
        <v>2.9282162189483598</v>
      </c>
      <c r="F35" s="1">
        <v>5.0999999999999996</v>
      </c>
      <c r="G35">
        <f t="shared" si="2"/>
        <v>2.1717837810516398</v>
      </c>
    </row>
    <row r="36" spans="1:7" x14ac:dyDescent="0.4">
      <c r="A36" s="6">
        <f t="shared" si="0"/>
        <v>130</v>
      </c>
      <c r="B36" t="s">
        <v>102</v>
      </c>
      <c r="C36">
        <v>4.42679738998413</v>
      </c>
      <c r="D36">
        <v>36</v>
      </c>
      <c r="E36">
        <f t="shared" si="1"/>
        <v>2.8342323303222599</v>
      </c>
    </row>
    <row r="37" spans="1:7" x14ac:dyDescent="0.4">
      <c r="A37" s="6">
        <f t="shared" si="0"/>
        <v>131</v>
      </c>
      <c r="B37" t="s">
        <v>103</v>
      </c>
      <c r="C37">
        <v>4.6211223602294904</v>
      </c>
      <c r="D37">
        <v>37</v>
      </c>
      <c r="E37">
        <f t="shared" si="1"/>
        <v>4.2354168891906703</v>
      </c>
    </row>
    <row r="38" spans="1:7" x14ac:dyDescent="0.4">
      <c r="A38" s="6">
        <f t="shared" si="0"/>
        <v>132</v>
      </c>
      <c r="B38" t="s">
        <v>104</v>
      </c>
      <c r="C38">
        <v>4.4428067207336399</v>
      </c>
      <c r="D38">
        <v>38</v>
      </c>
      <c r="E38">
        <f t="shared" si="1"/>
        <v>4.0595545768737704</v>
      </c>
    </row>
    <row r="39" spans="1:7" x14ac:dyDescent="0.4">
      <c r="A39" s="6">
        <f t="shared" si="0"/>
        <v>133</v>
      </c>
      <c r="B39" t="s">
        <v>105</v>
      </c>
      <c r="C39">
        <v>4.8491797447204501</v>
      </c>
      <c r="D39">
        <v>39</v>
      </c>
      <c r="E39">
        <f t="shared" si="1"/>
        <v>4.1043472290039</v>
      </c>
    </row>
    <row r="40" spans="1:7" x14ac:dyDescent="0.4">
      <c r="A40" s="6">
        <f t="shared" si="0"/>
        <v>134</v>
      </c>
      <c r="B40" t="s">
        <v>106</v>
      </c>
      <c r="C40">
        <v>4.9257135391235298</v>
      </c>
      <c r="D40">
        <v>40</v>
      </c>
      <c r="E40">
        <f t="shared" si="1"/>
        <v>4.8027839660644496</v>
      </c>
    </row>
    <row r="41" spans="1:7" x14ac:dyDescent="0.4">
      <c r="A41" s="6">
        <f t="shared" si="0"/>
        <v>135</v>
      </c>
      <c r="B41" t="s">
        <v>107</v>
      </c>
      <c r="C41">
        <v>4.8303775787353498</v>
      </c>
      <c r="D41">
        <v>41</v>
      </c>
      <c r="E41">
        <f t="shared" si="1"/>
        <v>4.8273911476135201</v>
      </c>
    </row>
    <row r="42" spans="1:7" x14ac:dyDescent="0.4">
      <c r="A42" s="6">
        <f t="shared" si="0"/>
        <v>136</v>
      </c>
      <c r="B42" t="s">
        <v>108</v>
      </c>
      <c r="C42">
        <v>1.5380840301513601</v>
      </c>
      <c r="D42">
        <v>42</v>
      </c>
      <c r="E42">
        <f t="shared" si="1"/>
        <v>4.7591371536254803</v>
      </c>
    </row>
    <row r="43" spans="1:7" x14ac:dyDescent="0.4">
      <c r="A43" s="6">
        <f t="shared" si="0"/>
        <v>137</v>
      </c>
      <c r="B43" t="s">
        <v>109</v>
      </c>
      <c r="C43">
        <v>1.4763822555541899</v>
      </c>
      <c r="D43">
        <v>43</v>
      </c>
      <c r="E43">
        <f t="shared" si="1"/>
        <v>5.5563640594482404</v>
      </c>
    </row>
    <row r="44" spans="1:7" x14ac:dyDescent="0.4">
      <c r="A44" s="6">
        <f t="shared" si="0"/>
        <v>138</v>
      </c>
      <c r="B44" t="s">
        <v>110</v>
      </c>
      <c r="C44">
        <v>1.44981729984283</v>
      </c>
      <c r="D44">
        <v>44</v>
      </c>
      <c r="E44">
        <f t="shared" si="1"/>
        <v>5.5155477523803702</v>
      </c>
    </row>
    <row r="45" spans="1:7" x14ac:dyDescent="0.4">
      <c r="A45" s="6">
        <f t="shared" si="0"/>
        <v>139</v>
      </c>
      <c r="B45" t="s">
        <v>111</v>
      </c>
      <c r="C45">
        <v>1.8660809993743801</v>
      </c>
      <c r="D45">
        <v>45</v>
      </c>
      <c r="E45">
        <f t="shared" si="1"/>
        <v>5.5110273361206001</v>
      </c>
    </row>
    <row r="46" spans="1:7" x14ac:dyDescent="0.4">
      <c r="A46" s="6">
        <f t="shared" si="0"/>
        <v>14</v>
      </c>
      <c r="B46" t="s">
        <v>16</v>
      </c>
      <c r="C46">
        <v>5.1002330780029297</v>
      </c>
      <c r="D46">
        <v>46</v>
      </c>
      <c r="E46">
        <f t="shared" si="1"/>
        <v>1.9441993236541699</v>
      </c>
    </row>
    <row r="47" spans="1:7" x14ac:dyDescent="0.4">
      <c r="A47" s="6">
        <f t="shared" si="0"/>
        <v>140</v>
      </c>
      <c r="B47" t="s">
        <v>112</v>
      </c>
      <c r="C47">
        <v>1.79289126396179</v>
      </c>
      <c r="D47">
        <v>47</v>
      </c>
      <c r="E47">
        <f t="shared" si="1"/>
        <v>1.8751128911971999</v>
      </c>
    </row>
    <row r="48" spans="1:7" x14ac:dyDescent="0.4">
      <c r="A48" s="6">
        <f t="shared" si="0"/>
        <v>141</v>
      </c>
      <c r="B48" t="s">
        <v>113</v>
      </c>
      <c r="C48">
        <v>1.9229099750518699</v>
      </c>
      <c r="D48">
        <v>48</v>
      </c>
      <c r="E48">
        <f t="shared" si="1"/>
        <v>1.8338668346405</v>
      </c>
    </row>
    <row r="49" spans="1:5" x14ac:dyDescent="0.4">
      <c r="A49" s="6">
        <f t="shared" si="0"/>
        <v>142</v>
      </c>
      <c r="B49" t="s">
        <v>114</v>
      </c>
      <c r="C49">
        <v>2.69662284851074</v>
      </c>
      <c r="D49">
        <v>49</v>
      </c>
      <c r="E49">
        <f t="shared" si="1"/>
        <v>2.46750688552856</v>
      </c>
    </row>
    <row r="50" spans="1:5" x14ac:dyDescent="0.4">
      <c r="A50" s="6">
        <f t="shared" si="0"/>
        <v>143</v>
      </c>
      <c r="B50" t="s">
        <v>115</v>
      </c>
      <c r="C50">
        <v>2.7822399139404199</v>
      </c>
      <c r="D50">
        <v>50</v>
      </c>
      <c r="E50">
        <f t="shared" si="1"/>
        <v>2.3588802814483598</v>
      </c>
    </row>
    <row r="51" spans="1:5" x14ac:dyDescent="0.4">
      <c r="A51" s="6">
        <f t="shared" si="0"/>
        <v>144</v>
      </c>
      <c r="B51" t="s">
        <v>116</v>
      </c>
      <c r="C51">
        <v>2.72160339355468</v>
      </c>
      <c r="D51">
        <v>51</v>
      </c>
      <c r="E51">
        <f t="shared" si="1"/>
        <v>2.4767863750457701</v>
      </c>
    </row>
    <row r="52" spans="1:5" x14ac:dyDescent="0.4">
      <c r="A52" s="6">
        <f t="shared" si="0"/>
        <v>145</v>
      </c>
      <c r="B52" t="s">
        <v>117</v>
      </c>
      <c r="C52">
        <v>4.3376293182373002</v>
      </c>
      <c r="D52">
        <v>52</v>
      </c>
      <c r="E52">
        <f t="shared" si="1"/>
        <v>3.3858268260955802</v>
      </c>
    </row>
    <row r="53" spans="1:5" x14ac:dyDescent="0.4">
      <c r="A53" s="6">
        <f t="shared" si="0"/>
        <v>146</v>
      </c>
      <c r="B53" t="s">
        <v>118</v>
      </c>
      <c r="C53">
        <v>4.3558683395385698</v>
      </c>
      <c r="D53">
        <v>53</v>
      </c>
      <c r="E53">
        <f t="shared" si="1"/>
        <v>3.3308253288268999</v>
      </c>
    </row>
    <row r="54" spans="1:5" x14ac:dyDescent="0.4">
      <c r="A54" s="6">
        <f t="shared" si="0"/>
        <v>147</v>
      </c>
      <c r="B54" t="s">
        <v>119</v>
      </c>
      <c r="C54">
        <v>4.2468585968017498</v>
      </c>
      <c r="D54">
        <v>54</v>
      </c>
      <c r="E54">
        <f t="shared" si="1"/>
        <v>3.4021921157836901</v>
      </c>
    </row>
    <row r="55" spans="1:5" x14ac:dyDescent="0.4">
      <c r="A55" s="6">
        <f t="shared" si="0"/>
        <v>148</v>
      </c>
      <c r="B55" t="s">
        <v>120</v>
      </c>
      <c r="C55">
        <v>5.2899661064147896</v>
      </c>
      <c r="D55">
        <v>55</v>
      </c>
      <c r="E55">
        <f t="shared" si="1"/>
        <v>4.6705060005187899</v>
      </c>
    </row>
    <row r="56" spans="1:5" x14ac:dyDescent="0.4">
      <c r="A56" s="6">
        <f t="shared" si="0"/>
        <v>149</v>
      </c>
      <c r="B56" t="s">
        <v>121</v>
      </c>
      <c r="C56">
        <v>5.3226695060729901</v>
      </c>
      <c r="D56">
        <v>56</v>
      </c>
      <c r="E56">
        <f t="shared" si="1"/>
        <v>4.6066184043884197</v>
      </c>
    </row>
    <row r="57" spans="1:5" x14ac:dyDescent="0.4">
      <c r="A57" s="6">
        <f t="shared" si="0"/>
        <v>15</v>
      </c>
      <c r="B57" t="s">
        <v>17</v>
      </c>
      <c r="C57">
        <v>5.14001417160034</v>
      </c>
      <c r="D57">
        <v>57</v>
      </c>
      <c r="E57">
        <f t="shared" si="1"/>
        <v>4.5322322845458896</v>
      </c>
    </row>
    <row r="58" spans="1:5" x14ac:dyDescent="0.4">
      <c r="A58" s="6">
        <f t="shared" si="0"/>
        <v>150</v>
      </c>
      <c r="B58" t="s">
        <v>122</v>
      </c>
      <c r="C58">
        <v>5.28745365142822</v>
      </c>
      <c r="D58">
        <v>58</v>
      </c>
      <c r="E58">
        <f t="shared" si="1"/>
        <v>5.0919003486633301</v>
      </c>
    </row>
    <row r="59" spans="1:5" x14ac:dyDescent="0.4">
      <c r="A59" s="6">
        <f t="shared" si="0"/>
        <v>151</v>
      </c>
      <c r="B59" t="s">
        <v>123</v>
      </c>
      <c r="C59">
        <v>3.0065460205078098</v>
      </c>
      <c r="D59">
        <v>59</v>
      </c>
      <c r="E59">
        <f t="shared" si="1"/>
        <v>5.1054220199584899</v>
      </c>
    </row>
    <row r="60" spans="1:5" x14ac:dyDescent="0.4">
      <c r="A60" s="6">
        <f t="shared" si="0"/>
        <v>152</v>
      </c>
      <c r="B60" t="s">
        <v>124</v>
      </c>
      <c r="C60">
        <v>2.98872947692871</v>
      </c>
      <c r="D60">
        <v>60</v>
      </c>
      <c r="E60">
        <f t="shared" si="1"/>
        <v>5.1558647155761701</v>
      </c>
    </row>
    <row r="61" spans="1:5" x14ac:dyDescent="0.4">
      <c r="A61" s="6">
        <f t="shared" si="0"/>
        <v>153</v>
      </c>
      <c r="B61" t="s">
        <v>125</v>
      </c>
      <c r="C61">
        <v>2.9276311397552401</v>
      </c>
      <c r="D61">
        <v>61</v>
      </c>
      <c r="E61">
        <f t="shared" si="1"/>
        <v>2.3577566146850502</v>
      </c>
    </row>
    <row r="62" spans="1:5" x14ac:dyDescent="0.4">
      <c r="A62" s="6">
        <f t="shared" si="0"/>
        <v>154</v>
      </c>
      <c r="B62" t="s">
        <v>126</v>
      </c>
      <c r="C62">
        <v>3.4098207950592001</v>
      </c>
      <c r="D62">
        <v>62</v>
      </c>
      <c r="E62">
        <f t="shared" si="1"/>
        <v>2.3381292819976802</v>
      </c>
    </row>
    <row r="63" spans="1:5" x14ac:dyDescent="0.4">
      <c r="A63" s="6">
        <f t="shared" si="0"/>
        <v>155</v>
      </c>
      <c r="B63" t="s">
        <v>127</v>
      </c>
      <c r="C63">
        <v>3.2497706413268999</v>
      </c>
      <c r="D63">
        <v>63</v>
      </c>
      <c r="E63">
        <f t="shared" si="1"/>
        <v>2.2951264381408598</v>
      </c>
    </row>
    <row r="64" spans="1:5" x14ac:dyDescent="0.4">
      <c r="A64" s="6">
        <f t="shared" si="0"/>
        <v>156</v>
      </c>
      <c r="B64" t="s">
        <v>128</v>
      </c>
      <c r="C64">
        <v>3.4299437999725302</v>
      </c>
      <c r="D64">
        <v>64</v>
      </c>
      <c r="E64">
        <f t="shared" si="1"/>
        <v>2.89166164398193</v>
      </c>
    </row>
    <row r="65" spans="1:5" x14ac:dyDescent="0.4">
      <c r="A65" s="6">
        <f t="shared" si="0"/>
        <v>157</v>
      </c>
      <c r="B65" t="s">
        <v>129</v>
      </c>
      <c r="C65">
        <v>3.5930416584014799</v>
      </c>
      <c r="D65">
        <v>65</v>
      </c>
      <c r="E65">
        <f t="shared" si="1"/>
        <v>2.8486213684082</v>
      </c>
    </row>
    <row r="66" spans="1:5" x14ac:dyDescent="0.4">
      <c r="A66" s="6">
        <f t="shared" ref="A66:A129" si="3">VALUE(LEFT(B66,FIND(".",B66)-1))</f>
        <v>158</v>
      </c>
      <c r="B66" t="s">
        <v>130</v>
      </c>
      <c r="C66">
        <v>3.5700058937072701</v>
      </c>
      <c r="D66">
        <v>66</v>
      </c>
      <c r="E66">
        <f t="shared" ref="E66:E129" si="4">VLOOKUP(D66,A$1:C$218,3,0)</f>
        <v>2.9387121200561501</v>
      </c>
    </row>
    <row r="67" spans="1:5" x14ac:dyDescent="0.4">
      <c r="A67" s="6">
        <f t="shared" si="3"/>
        <v>159</v>
      </c>
      <c r="B67" t="s">
        <v>131</v>
      </c>
      <c r="C67">
        <v>3.4540224075317298</v>
      </c>
      <c r="D67">
        <v>67</v>
      </c>
      <c r="E67">
        <f t="shared" si="4"/>
        <v>3.82792973518371</v>
      </c>
    </row>
    <row r="68" spans="1:5" x14ac:dyDescent="0.4">
      <c r="A68" s="6">
        <f t="shared" si="3"/>
        <v>16</v>
      </c>
      <c r="B68" t="s">
        <v>18</v>
      </c>
      <c r="C68">
        <v>2.2308943271636901</v>
      </c>
      <c r="D68">
        <v>68</v>
      </c>
      <c r="E68">
        <f t="shared" si="4"/>
        <v>3.8526651859283398</v>
      </c>
    </row>
    <row r="69" spans="1:5" x14ac:dyDescent="0.4">
      <c r="A69" s="6">
        <f t="shared" si="3"/>
        <v>160</v>
      </c>
      <c r="B69" t="s">
        <v>132</v>
      </c>
      <c r="C69">
        <v>3.6527194976806601</v>
      </c>
      <c r="D69">
        <v>69</v>
      </c>
      <c r="E69">
        <f t="shared" si="4"/>
        <v>3.9077963829040501</v>
      </c>
    </row>
    <row r="70" spans="1:5" x14ac:dyDescent="0.4">
      <c r="A70" s="6">
        <f t="shared" si="3"/>
        <v>161</v>
      </c>
      <c r="B70" t="s">
        <v>133</v>
      </c>
      <c r="C70">
        <v>3.6718115806579501</v>
      </c>
      <c r="D70">
        <v>70</v>
      </c>
      <c r="E70">
        <f t="shared" si="4"/>
        <v>4.5384430885314897</v>
      </c>
    </row>
    <row r="71" spans="1:5" x14ac:dyDescent="0.4">
      <c r="A71" s="6">
        <f t="shared" si="3"/>
        <v>162</v>
      </c>
      <c r="B71" t="s">
        <v>134</v>
      </c>
      <c r="C71">
        <v>3.70166015625</v>
      </c>
      <c r="D71">
        <v>71</v>
      </c>
      <c r="E71">
        <f t="shared" si="4"/>
        <v>4.6394348144531197</v>
      </c>
    </row>
    <row r="72" spans="1:5" x14ac:dyDescent="0.4">
      <c r="A72" s="6">
        <f t="shared" si="3"/>
        <v>163</v>
      </c>
      <c r="B72" t="s">
        <v>135</v>
      </c>
      <c r="C72">
        <v>3.9066920280456499</v>
      </c>
      <c r="D72">
        <v>72</v>
      </c>
      <c r="E72">
        <f t="shared" si="4"/>
        <v>4.5666046142578098</v>
      </c>
    </row>
    <row r="73" spans="1:5" x14ac:dyDescent="0.4">
      <c r="A73" s="6">
        <f t="shared" si="3"/>
        <v>164</v>
      </c>
      <c r="B73" t="s">
        <v>136</v>
      </c>
      <c r="C73">
        <v>3.9918236732482901</v>
      </c>
      <c r="D73">
        <v>73</v>
      </c>
      <c r="E73">
        <f t="shared" si="4"/>
        <v>4.9948358535766602</v>
      </c>
    </row>
    <row r="74" spans="1:5" x14ac:dyDescent="0.4">
      <c r="A74" s="6">
        <f t="shared" si="3"/>
        <v>165</v>
      </c>
      <c r="B74" t="s">
        <v>137</v>
      </c>
      <c r="C74">
        <v>4.0470333099365199</v>
      </c>
      <c r="D74">
        <v>74</v>
      </c>
      <c r="E74">
        <f t="shared" si="4"/>
        <v>5.0659966468811</v>
      </c>
    </row>
    <row r="75" spans="1:5" x14ac:dyDescent="0.4">
      <c r="A75" s="6">
        <f t="shared" si="3"/>
        <v>166</v>
      </c>
      <c r="B75" t="s">
        <v>145</v>
      </c>
      <c r="C75">
        <v>1.7652838230132999</v>
      </c>
      <c r="D75">
        <v>75</v>
      </c>
      <c r="E75">
        <f t="shared" si="4"/>
        <v>4.9641542434692303</v>
      </c>
    </row>
    <row r="76" spans="1:5" x14ac:dyDescent="0.4">
      <c r="A76" s="6">
        <f t="shared" si="3"/>
        <v>167</v>
      </c>
      <c r="B76" t="s">
        <v>146</v>
      </c>
      <c r="C76">
        <v>1.7597908973693801</v>
      </c>
      <c r="D76">
        <v>76</v>
      </c>
      <c r="E76">
        <f t="shared" si="4"/>
        <v>2.32841491699218</v>
      </c>
    </row>
    <row r="77" spans="1:5" x14ac:dyDescent="0.4">
      <c r="A77" s="6">
        <f t="shared" si="3"/>
        <v>168</v>
      </c>
      <c r="B77" t="s">
        <v>147</v>
      </c>
      <c r="C77">
        <v>1.7730584144592201</v>
      </c>
      <c r="D77">
        <v>77</v>
      </c>
      <c r="E77">
        <f t="shared" si="4"/>
        <v>2.3626849651336599</v>
      </c>
    </row>
    <row r="78" spans="1:5" x14ac:dyDescent="0.4">
      <c r="A78" s="6">
        <f t="shared" si="3"/>
        <v>169</v>
      </c>
      <c r="B78" t="s">
        <v>148</v>
      </c>
      <c r="C78">
        <v>2.56573486328125</v>
      </c>
      <c r="D78">
        <v>78</v>
      </c>
      <c r="E78">
        <f t="shared" si="4"/>
        <v>2.3565301895141602</v>
      </c>
    </row>
    <row r="79" spans="1:5" x14ac:dyDescent="0.4">
      <c r="A79" s="6">
        <f t="shared" si="3"/>
        <v>17</v>
      </c>
      <c r="B79" t="s">
        <v>19</v>
      </c>
      <c r="C79">
        <v>2.24667024612426</v>
      </c>
      <c r="D79">
        <v>79</v>
      </c>
      <c r="E79">
        <f t="shared" si="4"/>
        <v>3.1616642475128098</v>
      </c>
    </row>
    <row r="80" spans="1:5" x14ac:dyDescent="0.4">
      <c r="A80" s="6">
        <f t="shared" si="3"/>
        <v>170</v>
      </c>
      <c r="B80" t="s">
        <v>149</v>
      </c>
      <c r="C80">
        <v>2.57752060890197</v>
      </c>
      <c r="D80">
        <v>80</v>
      </c>
      <c r="E80">
        <f t="shared" si="4"/>
        <v>3.1448788642883301</v>
      </c>
    </row>
    <row r="81" spans="1:5" x14ac:dyDescent="0.4">
      <c r="A81" s="6">
        <f t="shared" si="3"/>
        <v>171</v>
      </c>
      <c r="B81" t="s">
        <v>150</v>
      </c>
      <c r="C81">
        <v>2.6308612823486301</v>
      </c>
      <c r="D81">
        <v>81</v>
      </c>
      <c r="E81">
        <f t="shared" si="4"/>
        <v>3.1199562549590998</v>
      </c>
    </row>
    <row r="82" spans="1:5" x14ac:dyDescent="0.4">
      <c r="A82" s="6">
        <f t="shared" si="3"/>
        <v>172</v>
      </c>
      <c r="B82" t="s">
        <v>151</v>
      </c>
      <c r="C82">
        <v>2.6717858314514098</v>
      </c>
      <c r="D82">
        <v>82</v>
      </c>
      <c r="E82">
        <f t="shared" si="4"/>
        <v>3.87586450576782</v>
      </c>
    </row>
    <row r="83" spans="1:5" x14ac:dyDescent="0.4">
      <c r="A83" s="6">
        <f t="shared" si="3"/>
        <v>173</v>
      </c>
      <c r="B83" t="s">
        <v>152</v>
      </c>
      <c r="C83">
        <v>2.46303033828735</v>
      </c>
      <c r="D83">
        <v>83</v>
      </c>
      <c r="E83">
        <f t="shared" si="4"/>
        <v>3.74453473091125</v>
      </c>
    </row>
    <row r="84" spans="1:5" x14ac:dyDescent="0.4">
      <c r="A84" s="6">
        <f t="shared" si="3"/>
        <v>174</v>
      </c>
      <c r="B84" t="s">
        <v>153</v>
      </c>
      <c r="C84">
        <v>2.49927377700805</v>
      </c>
      <c r="D84">
        <v>84</v>
      </c>
      <c r="E84">
        <f t="shared" si="4"/>
        <v>3.92707967758178</v>
      </c>
    </row>
    <row r="85" spans="1:5" x14ac:dyDescent="0.4">
      <c r="A85" s="6">
        <f t="shared" si="3"/>
        <v>175</v>
      </c>
      <c r="B85" t="s">
        <v>154</v>
      </c>
      <c r="C85">
        <v>1.7937197685241699</v>
      </c>
      <c r="D85">
        <v>85</v>
      </c>
      <c r="E85">
        <f t="shared" si="4"/>
        <v>4.0533452033996502</v>
      </c>
    </row>
    <row r="86" spans="1:5" x14ac:dyDescent="0.4">
      <c r="A86" s="6">
        <f t="shared" si="3"/>
        <v>176</v>
      </c>
      <c r="B86" t="s">
        <v>155</v>
      </c>
      <c r="C86">
        <v>1.77474725246429</v>
      </c>
      <c r="D86">
        <v>86</v>
      </c>
      <c r="E86">
        <f t="shared" si="4"/>
        <v>4.2244210243225098</v>
      </c>
    </row>
    <row r="87" spans="1:5" x14ac:dyDescent="0.4">
      <c r="A87" s="6">
        <f t="shared" si="3"/>
        <v>177</v>
      </c>
      <c r="B87" t="s">
        <v>156</v>
      </c>
      <c r="C87">
        <v>1.7706893682479801</v>
      </c>
      <c r="D87">
        <v>87</v>
      </c>
      <c r="E87">
        <f t="shared" si="4"/>
        <v>4.24619388580322</v>
      </c>
    </row>
    <row r="88" spans="1:5" x14ac:dyDescent="0.4">
      <c r="A88" s="6">
        <f t="shared" si="3"/>
        <v>178</v>
      </c>
      <c r="B88" t="s">
        <v>157</v>
      </c>
      <c r="C88">
        <v>3.5991911888122501</v>
      </c>
      <c r="D88">
        <v>88</v>
      </c>
      <c r="E88">
        <f t="shared" si="4"/>
        <v>4.2941541671752903</v>
      </c>
    </row>
    <row r="89" spans="1:5" x14ac:dyDescent="0.4">
      <c r="A89" s="6">
        <f t="shared" si="3"/>
        <v>179</v>
      </c>
      <c r="B89" t="s">
        <v>158</v>
      </c>
      <c r="C89">
        <v>3.7117393016815101</v>
      </c>
      <c r="D89">
        <v>89</v>
      </c>
      <c r="E89">
        <f t="shared" si="4"/>
        <v>4.3757286071777299</v>
      </c>
    </row>
    <row r="90" spans="1:5" x14ac:dyDescent="0.4">
      <c r="A90" s="6">
        <f t="shared" si="3"/>
        <v>18</v>
      </c>
      <c r="B90" t="s">
        <v>20</v>
      </c>
      <c r="C90">
        <v>2.2331242561340301</v>
      </c>
      <c r="D90">
        <v>90</v>
      </c>
      <c r="E90">
        <f t="shared" si="4"/>
        <v>4.2345871925354004</v>
      </c>
    </row>
    <row r="91" spans="1:5" x14ac:dyDescent="0.4">
      <c r="A91" s="6">
        <f t="shared" si="3"/>
        <v>180</v>
      </c>
      <c r="B91" t="s">
        <v>159</v>
      </c>
      <c r="C91">
        <v>3.7744431495666499</v>
      </c>
      <c r="D91">
        <v>91</v>
      </c>
      <c r="E91">
        <f t="shared" si="4"/>
        <v>1.88434314727783</v>
      </c>
    </row>
    <row r="92" spans="1:5" x14ac:dyDescent="0.4">
      <c r="A92" s="6">
        <f t="shared" si="3"/>
        <v>181</v>
      </c>
      <c r="B92" t="s">
        <v>160</v>
      </c>
      <c r="C92">
        <v>3.7261996269225999</v>
      </c>
      <c r="D92">
        <v>92</v>
      </c>
      <c r="E92">
        <f t="shared" si="4"/>
        <v>1.99661469459533</v>
      </c>
    </row>
    <row r="93" spans="1:5" x14ac:dyDescent="0.4">
      <c r="A93" s="6">
        <f t="shared" si="3"/>
        <v>182</v>
      </c>
      <c r="B93" t="s">
        <v>161</v>
      </c>
      <c r="C93">
        <v>3.7765798568725502</v>
      </c>
      <c r="D93">
        <v>93</v>
      </c>
      <c r="E93">
        <f t="shared" si="4"/>
        <v>1.8592126369476301</v>
      </c>
    </row>
    <row r="94" spans="1:5" x14ac:dyDescent="0.4">
      <c r="A94" s="6">
        <f t="shared" si="3"/>
        <v>183</v>
      </c>
      <c r="B94" t="s">
        <v>162</v>
      </c>
      <c r="C94">
        <v>3.7563166618347101</v>
      </c>
      <c r="D94">
        <v>94</v>
      </c>
      <c r="E94">
        <f t="shared" si="4"/>
        <v>3.1120510101318302</v>
      </c>
    </row>
    <row r="95" spans="1:5" x14ac:dyDescent="0.4">
      <c r="A95" s="6">
        <f t="shared" si="3"/>
        <v>184</v>
      </c>
      <c r="B95" t="s">
        <v>163</v>
      </c>
      <c r="C95">
        <v>4.7780795097351003</v>
      </c>
      <c r="D95">
        <v>95</v>
      </c>
      <c r="E95">
        <f t="shared" si="4"/>
        <v>2.93454885482788</v>
      </c>
    </row>
    <row r="96" spans="1:5" x14ac:dyDescent="0.4">
      <c r="A96" s="6">
        <f t="shared" si="3"/>
        <v>185</v>
      </c>
      <c r="B96" t="s">
        <v>164</v>
      </c>
      <c r="C96">
        <v>4.7597908973693803</v>
      </c>
      <c r="D96">
        <v>96</v>
      </c>
      <c r="E96">
        <f t="shared" si="4"/>
        <v>3.1517477035522399</v>
      </c>
    </row>
    <row r="97" spans="1:5" x14ac:dyDescent="0.4">
      <c r="A97" s="6">
        <f t="shared" si="3"/>
        <v>186</v>
      </c>
      <c r="B97" t="s">
        <v>165</v>
      </c>
      <c r="C97">
        <v>4.6484622955322203</v>
      </c>
      <c r="D97">
        <v>97</v>
      </c>
      <c r="E97">
        <f t="shared" si="4"/>
        <v>4.0655603408813397</v>
      </c>
    </row>
    <row r="98" spans="1:5" x14ac:dyDescent="0.4">
      <c r="A98" s="6">
        <f t="shared" si="3"/>
        <v>187</v>
      </c>
      <c r="B98" t="s">
        <v>166</v>
      </c>
      <c r="C98">
        <v>4.7011775970458896</v>
      </c>
      <c r="D98">
        <v>98</v>
      </c>
      <c r="E98">
        <f t="shared" si="4"/>
        <v>4.1670112609863201</v>
      </c>
    </row>
    <row r="99" spans="1:5" x14ac:dyDescent="0.4">
      <c r="A99" s="6">
        <f t="shared" si="3"/>
        <v>188</v>
      </c>
      <c r="B99" t="s">
        <v>167</v>
      </c>
      <c r="C99">
        <v>4.7823157310485804</v>
      </c>
      <c r="D99">
        <v>99</v>
      </c>
      <c r="E99">
        <f t="shared" si="4"/>
        <v>4.0948753356933496</v>
      </c>
    </row>
    <row r="100" spans="1:5" x14ac:dyDescent="0.4">
      <c r="A100" s="6">
        <f t="shared" si="3"/>
        <v>189</v>
      </c>
      <c r="B100" t="s">
        <v>168</v>
      </c>
      <c r="C100">
        <v>4.7663307189941397</v>
      </c>
      <c r="D100">
        <v>100</v>
      </c>
      <c r="E100">
        <f t="shared" si="4"/>
        <v>4.4669780731201101</v>
      </c>
    </row>
    <row r="101" spans="1:5" x14ac:dyDescent="0.4">
      <c r="A101" s="6">
        <f t="shared" si="3"/>
        <v>19</v>
      </c>
      <c r="B101" t="s">
        <v>21</v>
      </c>
      <c r="C101" s="7">
        <v>3.2692248821258501</v>
      </c>
      <c r="D101">
        <v>101</v>
      </c>
      <c r="E101">
        <f t="shared" si="4"/>
        <v>4.4214282035827601</v>
      </c>
    </row>
    <row r="102" spans="1:5" x14ac:dyDescent="0.4">
      <c r="A102" s="6">
        <f t="shared" si="3"/>
        <v>191</v>
      </c>
      <c r="B102" t="s">
        <v>169</v>
      </c>
      <c r="C102" s="7">
        <v>1.8857192993164</v>
      </c>
      <c r="D102">
        <v>102</v>
      </c>
      <c r="E102">
        <f t="shared" si="4"/>
        <v>4.5451426506042401</v>
      </c>
    </row>
    <row r="103" spans="1:5" x14ac:dyDescent="0.4">
      <c r="A103" s="6">
        <f t="shared" si="3"/>
        <v>192</v>
      </c>
      <c r="B103" t="s">
        <v>170</v>
      </c>
      <c r="C103" s="7">
        <v>1.89190602302551</v>
      </c>
      <c r="D103">
        <v>103</v>
      </c>
      <c r="E103">
        <f t="shared" si="4"/>
        <v>5.7601466178893999</v>
      </c>
    </row>
    <row r="104" spans="1:5" x14ac:dyDescent="0.4">
      <c r="A104" s="6">
        <f t="shared" si="3"/>
        <v>193</v>
      </c>
      <c r="B104" t="s">
        <v>171</v>
      </c>
      <c r="C104">
        <v>2.5417883396148602</v>
      </c>
      <c r="D104">
        <v>104</v>
      </c>
      <c r="E104">
        <f t="shared" si="4"/>
        <v>5.7472381591796804</v>
      </c>
    </row>
    <row r="105" spans="1:5" x14ac:dyDescent="0.4">
      <c r="A105" s="6">
        <f t="shared" si="3"/>
        <v>194</v>
      </c>
      <c r="B105" t="s">
        <v>172</v>
      </c>
      <c r="C105">
        <v>2.9527301788329998</v>
      </c>
      <c r="D105">
        <v>105</v>
      </c>
      <c r="E105">
        <f t="shared" si="4"/>
        <v>5.82120561599731</v>
      </c>
    </row>
    <row r="106" spans="1:5" x14ac:dyDescent="0.4">
      <c r="A106" s="6">
        <f t="shared" si="3"/>
        <v>195</v>
      </c>
      <c r="B106" t="s">
        <v>173</v>
      </c>
      <c r="C106">
        <v>2.8357257843017498</v>
      </c>
      <c r="D106">
        <v>106</v>
      </c>
      <c r="E106">
        <f t="shared" si="4"/>
        <v>1.2754000425338701</v>
      </c>
    </row>
    <row r="107" spans="1:5" x14ac:dyDescent="0.4">
      <c r="A107" s="6">
        <f t="shared" si="3"/>
        <v>196</v>
      </c>
      <c r="B107" t="s">
        <v>174</v>
      </c>
      <c r="C107">
        <v>2.5316901206970202</v>
      </c>
      <c r="D107">
        <v>107</v>
      </c>
      <c r="E107">
        <f t="shared" si="4"/>
        <v>1.2989531755447301</v>
      </c>
    </row>
    <row r="108" spans="1:5" x14ac:dyDescent="0.4">
      <c r="A108" s="6">
        <f t="shared" si="3"/>
        <v>197</v>
      </c>
      <c r="B108" t="s">
        <v>175</v>
      </c>
      <c r="C108" s="7">
        <v>3.1607470512390101</v>
      </c>
      <c r="D108">
        <v>108</v>
      </c>
      <c r="E108">
        <f t="shared" si="4"/>
        <v>1.2479541301727199</v>
      </c>
    </row>
    <row r="109" spans="1:5" x14ac:dyDescent="0.4">
      <c r="A109" s="6">
        <f t="shared" si="3"/>
        <v>198</v>
      </c>
      <c r="B109" t="s">
        <v>176</v>
      </c>
      <c r="C109">
        <v>2.9486167430877601</v>
      </c>
      <c r="D109">
        <v>109</v>
      </c>
      <c r="E109">
        <f t="shared" si="4"/>
        <v>1.66988766193389</v>
      </c>
    </row>
    <row r="110" spans="1:5" x14ac:dyDescent="0.4">
      <c r="A110" s="6">
        <f t="shared" si="3"/>
        <v>199</v>
      </c>
      <c r="B110" t="s">
        <v>177</v>
      </c>
      <c r="C110">
        <v>3.5545549392700102</v>
      </c>
      <c r="D110">
        <v>110</v>
      </c>
      <c r="E110">
        <f t="shared" si="4"/>
        <v>1.5427103042602499</v>
      </c>
    </row>
    <row r="111" spans="1:5" x14ac:dyDescent="0.4">
      <c r="A111" s="6">
        <f t="shared" si="3"/>
        <v>2</v>
      </c>
      <c r="B111" t="s">
        <v>4</v>
      </c>
      <c r="C111">
        <v>1.3474656343460001</v>
      </c>
      <c r="D111">
        <v>111</v>
      </c>
      <c r="E111">
        <f t="shared" si="4"/>
        <v>1.5876533985137899</v>
      </c>
    </row>
    <row r="112" spans="1:5" x14ac:dyDescent="0.4">
      <c r="A112" s="6">
        <f t="shared" si="3"/>
        <v>20</v>
      </c>
      <c r="B112" t="s">
        <v>22</v>
      </c>
      <c r="C112">
        <v>3.3124475479125901</v>
      </c>
      <c r="D112">
        <v>112</v>
      </c>
      <c r="E112">
        <f t="shared" si="4"/>
        <v>2.1982161998748699</v>
      </c>
    </row>
    <row r="113" spans="1:5" x14ac:dyDescent="0.4">
      <c r="A113" s="6">
        <f t="shared" si="3"/>
        <v>200</v>
      </c>
      <c r="B113" t="s">
        <v>178</v>
      </c>
      <c r="C113">
        <v>3.7155191898345898</v>
      </c>
      <c r="D113">
        <v>113</v>
      </c>
      <c r="E113">
        <f t="shared" si="4"/>
        <v>2.4924468994140598</v>
      </c>
    </row>
    <row r="114" spans="1:5" x14ac:dyDescent="0.4">
      <c r="A114" s="6">
        <f t="shared" si="3"/>
        <v>201</v>
      </c>
      <c r="B114" t="s">
        <v>179</v>
      </c>
      <c r="C114">
        <v>3.6366987228393501</v>
      </c>
      <c r="D114">
        <v>114</v>
      </c>
      <c r="E114">
        <f t="shared" si="4"/>
        <v>2.4262347221374498</v>
      </c>
    </row>
    <row r="115" spans="1:5" x14ac:dyDescent="0.4">
      <c r="A115" s="6">
        <f t="shared" si="3"/>
        <v>202</v>
      </c>
      <c r="B115" t="s">
        <v>180</v>
      </c>
      <c r="C115">
        <v>3.8229167461395201</v>
      </c>
      <c r="D115">
        <v>115</v>
      </c>
      <c r="E115">
        <f t="shared" si="4"/>
        <v>4.0292658805847097</v>
      </c>
    </row>
    <row r="116" spans="1:5" x14ac:dyDescent="0.4">
      <c r="A116" s="6">
        <f t="shared" si="3"/>
        <v>203</v>
      </c>
      <c r="B116" t="s">
        <v>181</v>
      </c>
      <c r="C116">
        <v>4.1234507560729901</v>
      </c>
      <c r="D116">
        <v>116</v>
      </c>
      <c r="E116">
        <f t="shared" si="4"/>
        <v>3.8750190734863201</v>
      </c>
    </row>
    <row r="117" spans="1:5" x14ac:dyDescent="0.4">
      <c r="A117" s="6">
        <f t="shared" si="3"/>
        <v>204</v>
      </c>
      <c r="B117" t="s">
        <v>182</v>
      </c>
      <c r="C117">
        <v>3.9507708549499498</v>
      </c>
      <c r="D117">
        <v>117</v>
      </c>
      <c r="E117">
        <f t="shared" si="4"/>
        <v>3.9516696929931601</v>
      </c>
    </row>
    <row r="118" spans="1:5" x14ac:dyDescent="0.4">
      <c r="A118" s="6">
        <f t="shared" si="3"/>
        <v>205</v>
      </c>
      <c r="B118" t="s">
        <v>183</v>
      </c>
      <c r="C118">
        <v>4.2396574020385698</v>
      </c>
      <c r="D118">
        <v>118</v>
      </c>
      <c r="E118">
        <f t="shared" si="4"/>
        <v>4.9376564025878897</v>
      </c>
    </row>
    <row r="119" spans="1:5" x14ac:dyDescent="0.4">
      <c r="A119" s="6">
        <f t="shared" si="3"/>
        <v>206</v>
      </c>
      <c r="B119" t="s">
        <v>184</v>
      </c>
      <c r="C119">
        <v>1.8888734579086299</v>
      </c>
      <c r="D119">
        <v>119</v>
      </c>
      <c r="E119">
        <f t="shared" si="4"/>
        <v>4.8352952003479004</v>
      </c>
    </row>
    <row r="120" spans="1:5" x14ac:dyDescent="0.4">
      <c r="A120" s="6">
        <f t="shared" si="3"/>
        <v>207</v>
      </c>
      <c r="B120" t="s">
        <v>185</v>
      </c>
      <c r="C120">
        <v>1.93211281299591</v>
      </c>
      <c r="D120">
        <v>120</v>
      </c>
      <c r="E120">
        <f t="shared" si="4"/>
        <v>4.9688858985900799</v>
      </c>
    </row>
    <row r="121" spans="1:5" x14ac:dyDescent="0.4">
      <c r="A121" s="6">
        <f t="shared" si="3"/>
        <v>208</v>
      </c>
      <c r="B121" t="s">
        <v>186</v>
      </c>
      <c r="C121">
        <v>1.8948994874954199</v>
      </c>
      <c r="D121">
        <v>121</v>
      </c>
      <c r="E121">
        <f t="shared" si="4"/>
        <v>2.5030860900878902</v>
      </c>
    </row>
    <row r="122" spans="1:5" x14ac:dyDescent="0.4">
      <c r="A122" s="6">
        <f t="shared" si="3"/>
        <v>209</v>
      </c>
      <c r="B122" t="s">
        <v>187</v>
      </c>
      <c r="C122">
        <v>3.2828621864318799</v>
      </c>
      <c r="D122">
        <v>122</v>
      </c>
      <c r="E122">
        <f t="shared" si="4"/>
        <v>2.5212483406066801</v>
      </c>
    </row>
    <row r="123" spans="1:5" x14ac:dyDescent="0.4">
      <c r="A123" s="6">
        <f t="shared" si="3"/>
        <v>21</v>
      </c>
      <c r="B123" t="s">
        <v>23</v>
      </c>
      <c r="C123">
        <v>3.3099379539489702</v>
      </c>
      <c r="D123">
        <v>123</v>
      </c>
      <c r="E123">
        <f t="shared" si="4"/>
        <v>2.5824694633483798</v>
      </c>
    </row>
    <row r="124" spans="1:5" x14ac:dyDescent="0.4">
      <c r="A124" s="6">
        <f t="shared" si="3"/>
        <v>210</v>
      </c>
      <c r="B124" t="s">
        <v>188</v>
      </c>
      <c r="C124">
        <v>3.07190537452697</v>
      </c>
      <c r="D124">
        <v>124</v>
      </c>
      <c r="E124">
        <f t="shared" si="4"/>
        <v>3.1651434898376398</v>
      </c>
    </row>
    <row r="125" spans="1:5" x14ac:dyDescent="0.4">
      <c r="A125" s="6">
        <f t="shared" si="3"/>
        <v>211</v>
      </c>
      <c r="B125" t="s">
        <v>189</v>
      </c>
      <c r="C125">
        <v>3.2107162475585902</v>
      </c>
      <c r="D125">
        <v>125</v>
      </c>
      <c r="E125">
        <f t="shared" si="4"/>
        <v>3.1283991336822501</v>
      </c>
    </row>
    <row r="126" spans="1:5" x14ac:dyDescent="0.4">
      <c r="A126" s="6">
        <f t="shared" si="3"/>
        <v>212</v>
      </c>
      <c r="B126" t="s">
        <v>190</v>
      </c>
      <c r="C126">
        <v>4.1266069412231401</v>
      </c>
      <c r="D126">
        <v>126</v>
      </c>
      <c r="E126">
        <f t="shared" si="4"/>
        <v>3.2233016490936199</v>
      </c>
    </row>
    <row r="127" spans="1:5" x14ac:dyDescent="0.4">
      <c r="A127" s="6">
        <f t="shared" si="3"/>
        <v>213</v>
      </c>
      <c r="B127" t="s">
        <v>191</v>
      </c>
      <c r="C127">
        <v>4.1615800857543901</v>
      </c>
      <c r="D127">
        <v>127</v>
      </c>
      <c r="E127">
        <f t="shared" si="4"/>
        <v>3.8802719116210902</v>
      </c>
    </row>
    <row r="128" spans="1:5" x14ac:dyDescent="0.4">
      <c r="A128" s="6">
        <f t="shared" si="3"/>
        <v>214</v>
      </c>
      <c r="B128" t="s">
        <v>192</v>
      </c>
      <c r="C128">
        <v>4.1327705383300701</v>
      </c>
      <c r="D128">
        <v>128</v>
      </c>
      <c r="E128">
        <f t="shared" si="4"/>
        <v>3.9429235458374001</v>
      </c>
    </row>
    <row r="129" spans="1:5" x14ac:dyDescent="0.4">
      <c r="A129" s="6">
        <f t="shared" si="3"/>
        <v>215</v>
      </c>
      <c r="B129" t="s">
        <v>193</v>
      </c>
      <c r="C129">
        <v>4.35292625427246</v>
      </c>
      <c r="D129">
        <v>129</v>
      </c>
      <c r="E129">
        <f t="shared" si="4"/>
        <v>3.9114933013915998</v>
      </c>
    </row>
    <row r="130" spans="1:5" x14ac:dyDescent="0.4">
      <c r="A130" s="6">
        <f t="shared" ref="A130:A193" si="5">VALUE(LEFT(B130,FIND(".",B130)-1))</f>
        <v>216</v>
      </c>
      <c r="B130" t="s">
        <v>194</v>
      </c>
      <c r="C130">
        <v>4.4605250358581499</v>
      </c>
      <c r="D130">
        <v>130</v>
      </c>
      <c r="E130">
        <f t="shared" ref="E130:E193" si="6">VLOOKUP(D130,A$1:C$218,3,0)</f>
        <v>4.42679738998413</v>
      </c>
    </row>
    <row r="131" spans="1:5" x14ac:dyDescent="0.4">
      <c r="A131" s="6">
        <f t="shared" si="5"/>
        <v>217</v>
      </c>
      <c r="B131" t="s">
        <v>195</v>
      </c>
      <c r="C131">
        <v>4.6806292533874503</v>
      </c>
      <c r="D131">
        <v>131</v>
      </c>
      <c r="E131">
        <f t="shared" si="6"/>
        <v>4.6211223602294904</v>
      </c>
    </row>
    <row r="132" spans="1:5" x14ac:dyDescent="0.4">
      <c r="A132" s="6">
        <f t="shared" si="5"/>
        <v>218</v>
      </c>
      <c r="B132" t="s">
        <v>196</v>
      </c>
      <c r="C132">
        <v>5.8154830932617099</v>
      </c>
      <c r="D132">
        <v>132</v>
      </c>
      <c r="E132">
        <f t="shared" si="6"/>
        <v>4.4428067207336399</v>
      </c>
    </row>
    <row r="133" spans="1:5" x14ac:dyDescent="0.4">
      <c r="A133" s="6">
        <f t="shared" si="5"/>
        <v>219</v>
      </c>
      <c r="B133" t="s">
        <v>197</v>
      </c>
      <c r="C133">
        <v>5.7249798774719203</v>
      </c>
      <c r="D133">
        <v>133</v>
      </c>
      <c r="E133">
        <f t="shared" si="6"/>
        <v>4.8491797447204501</v>
      </c>
    </row>
    <row r="134" spans="1:5" x14ac:dyDescent="0.4">
      <c r="A134" s="6">
        <f t="shared" si="5"/>
        <v>22</v>
      </c>
      <c r="B134" t="s">
        <v>24</v>
      </c>
      <c r="C134" s="7">
        <v>3.86675548553466</v>
      </c>
      <c r="D134">
        <v>134</v>
      </c>
      <c r="E134">
        <f t="shared" si="6"/>
        <v>4.9257135391235298</v>
      </c>
    </row>
    <row r="135" spans="1:5" x14ac:dyDescent="0.4">
      <c r="A135" s="6">
        <f t="shared" si="5"/>
        <v>23</v>
      </c>
      <c r="B135" t="s">
        <v>25</v>
      </c>
      <c r="C135" s="7">
        <v>3.7433125972747798</v>
      </c>
      <c r="D135">
        <v>135</v>
      </c>
      <c r="E135">
        <f t="shared" si="6"/>
        <v>4.8303775787353498</v>
      </c>
    </row>
    <row r="136" spans="1:5" x14ac:dyDescent="0.4">
      <c r="A136" s="6">
        <f t="shared" si="5"/>
        <v>24</v>
      </c>
      <c r="B136" t="s">
        <v>26</v>
      </c>
      <c r="C136" s="7">
        <v>3.7545721530914302</v>
      </c>
      <c r="D136">
        <v>136</v>
      </c>
      <c r="E136">
        <f t="shared" si="6"/>
        <v>1.5380840301513601</v>
      </c>
    </row>
    <row r="137" spans="1:5" x14ac:dyDescent="0.4">
      <c r="A137" s="6">
        <f t="shared" si="5"/>
        <v>25</v>
      </c>
      <c r="B137" t="s">
        <v>27</v>
      </c>
      <c r="C137" s="7">
        <v>4.3893666267395002</v>
      </c>
      <c r="D137">
        <v>137</v>
      </c>
      <c r="E137">
        <f t="shared" si="6"/>
        <v>1.4763822555541899</v>
      </c>
    </row>
    <row r="138" spans="1:5" x14ac:dyDescent="0.4">
      <c r="A138" s="6">
        <f t="shared" si="5"/>
        <v>26</v>
      </c>
      <c r="B138" t="s">
        <v>28</v>
      </c>
      <c r="C138" s="7">
        <v>4.51643514633178</v>
      </c>
      <c r="D138">
        <v>138</v>
      </c>
      <c r="E138">
        <f t="shared" si="6"/>
        <v>1.44981729984283</v>
      </c>
    </row>
    <row r="139" spans="1:5" x14ac:dyDescent="0.4">
      <c r="A139" s="6">
        <f t="shared" si="5"/>
        <v>27</v>
      </c>
      <c r="B139" t="s">
        <v>29</v>
      </c>
      <c r="C139" s="7">
        <v>4.4374155998229901</v>
      </c>
      <c r="D139">
        <v>139</v>
      </c>
      <c r="E139">
        <f t="shared" si="6"/>
        <v>1.8660809993743801</v>
      </c>
    </row>
    <row r="140" spans="1:5" x14ac:dyDescent="0.4">
      <c r="A140" s="6">
        <f t="shared" si="5"/>
        <v>28</v>
      </c>
      <c r="B140" t="s">
        <v>30</v>
      </c>
      <c r="C140" s="7">
        <v>5.25701808929443</v>
      </c>
      <c r="D140">
        <v>140</v>
      </c>
      <c r="E140">
        <f t="shared" si="6"/>
        <v>1.79289126396179</v>
      </c>
    </row>
    <row r="141" spans="1:5" x14ac:dyDescent="0.4">
      <c r="A141" s="6">
        <f t="shared" si="5"/>
        <v>29</v>
      </c>
      <c r="B141" t="s">
        <v>31</v>
      </c>
      <c r="C141" s="7">
        <v>5.1813087463378897</v>
      </c>
      <c r="D141">
        <v>141</v>
      </c>
      <c r="E141">
        <f t="shared" si="6"/>
        <v>1.9229099750518699</v>
      </c>
    </row>
    <row r="142" spans="1:5" x14ac:dyDescent="0.4">
      <c r="A142" s="6">
        <f t="shared" si="5"/>
        <v>3</v>
      </c>
      <c r="B142" t="s">
        <v>5</v>
      </c>
      <c r="C142" s="7">
        <v>1.3594604730605999</v>
      </c>
      <c r="D142">
        <v>142</v>
      </c>
      <c r="E142">
        <f t="shared" si="6"/>
        <v>2.69662284851074</v>
      </c>
    </row>
    <row r="143" spans="1:5" x14ac:dyDescent="0.4">
      <c r="A143" s="6">
        <f t="shared" si="5"/>
        <v>30</v>
      </c>
      <c r="B143" t="s">
        <v>32</v>
      </c>
      <c r="C143" s="7">
        <v>5.1809606552123997</v>
      </c>
      <c r="D143">
        <v>143</v>
      </c>
      <c r="E143">
        <f t="shared" si="6"/>
        <v>2.7822399139404199</v>
      </c>
    </row>
    <row r="144" spans="1:5" x14ac:dyDescent="0.4">
      <c r="A144" s="6">
        <f t="shared" si="5"/>
        <v>31</v>
      </c>
      <c r="B144" t="s">
        <v>33</v>
      </c>
      <c r="C144" s="7">
        <v>2.24960064888</v>
      </c>
      <c r="D144">
        <v>144</v>
      </c>
      <c r="E144">
        <f t="shared" si="6"/>
        <v>2.72160339355468</v>
      </c>
    </row>
    <row r="145" spans="1:5" x14ac:dyDescent="0.4">
      <c r="A145" s="6">
        <f t="shared" si="5"/>
        <v>32</v>
      </c>
      <c r="B145" t="s">
        <v>34</v>
      </c>
      <c r="C145" s="7">
        <v>2.2393319606781001</v>
      </c>
      <c r="D145">
        <v>145</v>
      </c>
      <c r="E145">
        <f t="shared" si="6"/>
        <v>4.3376293182373002</v>
      </c>
    </row>
    <row r="146" spans="1:5" x14ac:dyDescent="0.4">
      <c r="A146" s="6">
        <f t="shared" si="5"/>
        <v>33</v>
      </c>
      <c r="B146" t="s">
        <v>35</v>
      </c>
      <c r="C146" s="7">
        <v>2.2790434360504102</v>
      </c>
      <c r="D146">
        <v>146</v>
      </c>
      <c r="E146">
        <f t="shared" si="6"/>
        <v>4.3558683395385698</v>
      </c>
    </row>
    <row r="147" spans="1:5" x14ac:dyDescent="0.4">
      <c r="A147" s="6">
        <f t="shared" si="5"/>
        <v>34</v>
      </c>
      <c r="B147" t="s">
        <v>36</v>
      </c>
      <c r="C147" s="7">
        <v>2.85813856124877</v>
      </c>
      <c r="D147">
        <v>147</v>
      </c>
      <c r="E147">
        <f t="shared" si="6"/>
        <v>4.2468585968017498</v>
      </c>
    </row>
    <row r="148" spans="1:5" x14ac:dyDescent="0.4">
      <c r="A148" s="6">
        <f t="shared" si="5"/>
        <v>35</v>
      </c>
      <c r="B148" t="s">
        <v>37</v>
      </c>
      <c r="C148" s="7">
        <v>2.9282162189483598</v>
      </c>
      <c r="D148">
        <v>148</v>
      </c>
      <c r="E148">
        <f t="shared" si="6"/>
        <v>5.2899661064147896</v>
      </c>
    </row>
    <row r="149" spans="1:5" x14ac:dyDescent="0.4">
      <c r="A149" s="6">
        <f t="shared" si="5"/>
        <v>36</v>
      </c>
      <c r="B149" t="s">
        <v>38</v>
      </c>
      <c r="C149" s="7">
        <v>2.8342323303222599</v>
      </c>
      <c r="D149">
        <v>149</v>
      </c>
      <c r="E149">
        <f t="shared" si="6"/>
        <v>5.3226695060729901</v>
      </c>
    </row>
    <row r="150" spans="1:5" x14ac:dyDescent="0.4">
      <c r="A150" s="6">
        <f t="shared" si="5"/>
        <v>37</v>
      </c>
      <c r="B150" t="s">
        <v>39</v>
      </c>
      <c r="C150" s="7">
        <v>4.2354168891906703</v>
      </c>
      <c r="D150">
        <v>150</v>
      </c>
      <c r="E150">
        <f t="shared" si="6"/>
        <v>5.28745365142822</v>
      </c>
    </row>
    <row r="151" spans="1:5" x14ac:dyDescent="0.4">
      <c r="A151" s="6">
        <f t="shared" si="5"/>
        <v>38</v>
      </c>
      <c r="B151" t="s">
        <v>40</v>
      </c>
      <c r="C151" s="7">
        <v>4.0595545768737704</v>
      </c>
      <c r="D151">
        <v>151</v>
      </c>
      <c r="E151">
        <f t="shared" si="6"/>
        <v>3.0065460205078098</v>
      </c>
    </row>
    <row r="152" spans="1:5" x14ac:dyDescent="0.4">
      <c r="A152" s="6">
        <f t="shared" si="5"/>
        <v>39</v>
      </c>
      <c r="B152" t="s">
        <v>41</v>
      </c>
      <c r="C152" s="7">
        <v>4.1043472290039</v>
      </c>
      <c r="D152">
        <v>152</v>
      </c>
      <c r="E152">
        <f t="shared" si="6"/>
        <v>2.98872947692871</v>
      </c>
    </row>
    <row r="153" spans="1:5" x14ac:dyDescent="0.4">
      <c r="A153" s="6">
        <f t="shared" si="5"/>
        <v>4</v>
      </c>
      <c r="B153" t="s">
        <v>6</v>
      </c>
      <c r="C153" s="7">
        <v>2.0005588531494101</v>
      </c>
      <c r="D153">
        <v>153</v>
      </c>
      <c r="E153">
        <f t="shared" si="6"/>
        <v>2.9276311397552401</v>
      </c>
    </row>
    <row r="154" spans="1:5" x14ac:dyDescent="0.4">
      <c r="A154" s="6">
        <f t="shared" si="5"/>
        <v>40</v>
      </c>
      <c r="B154" t="s">
        <v>42</v>
      </c>
      <c r="C154" s="7">
        <v>4.8027839660644496</v>
      </c>
      <c r="D154">
        <v>154</v>
      </c>
      <c r="E154">
        <f t="shared" si="6"/>
        <v>3.4098207950592001</v>
      </c>
    </row>
    <row r="155" spans="1:5" x14ac:dyDescent="0.4">
      <c r="A155" s="6">
        <f t="shared" si="5"/>
        <v>41</v>
      </c>
      <c r="B155" t="s">
        <v>43</v>
      </c>
      <c r="C155" s="7">
        <v>4.8273911476135201</v>
      </c>
      <c r="D155">
        <v>155</v>
      </c>
      <c r="E155">
        <f t="shared" si="6"/>
        <v>3.2497706413268999</v>
      </c>
    </row>
    <row r="156" spans="1:5" x14ac:dyDescent="0.4">
      <c r="A156" s="6">
        <f t="shared" si="5"/>
        <v>42</v>
      </c>
      <c r="B156" t="s">
        <v>44</v>
      </c>
      <c r="C156">
        <v>4.7591371536254803</v>
      </c>
      <c r="D156">
        <v>156</v>
      </c>
      <c r="E156">
        <f t="shared" si="6"/>
        <v>3.4299437999725302</v>
      </c>
    </row>
    <row r="157" spans="1:5" x14ac:dyDescent="0.4">
      <c r="A157" s="6">
        <f t="shared" si="5"/>
        <v>43</v>
      </c>
      <c r="B157" t="s">
        <v>45</v>
      </c>
      <c r="C157" s="7">
        <v>5.5563640594482404</v>
      </c>
      <c r="D157">
        <v>157</v>
      </c>
      <c r="E157">
        <f t="shared" si="6"/>
        <v>3.5930416584014799</v>
      </c>
    </row>
    <row r="158" spans="1:5" x14ac:dyDescent="0.4">
      <c r="A158" s="6">
        <f t="shared" si="5"/>
        <v>44</v>
      </c>
      <c r="B158" t="s">
        <v>46</v>
      </c>
      <c r="C158" s="7">
        <v>5.5155477523803702</v>
      </c>
      <c r="D158">
        <v>158</v>
      </c>
      <c r="E158">
        <f t="shared" si="6"/>
        <v>3.5700058937072701</v>
      </c>
    </row>
    <row r="159" spans="1:5" x14ac:dyDescent="0.4">
      <c r="A159" s="6">
        <f t="shared" si="5"/>
        <v>45</v>
      </c>
      <c r="B159" t="s">
        <v>47</v>
      </c>
      <c r="C159">
        <v>5.5110273361206001</v>
      </c>
      <c r="D159">
        <v>159</v>
      </c>
      <c r="E159">
        <f t="shared" si="6"/>
        <v>3.4540224075317298</v>
      </c>
    </row>
    <row r="160" spans="1:5" x14ac:dyDescent="0.4">
      <c r="A160" s="6">
        <f t="shared" si="5"/>
        <v>46</v>
      </c>
      <c r="B160" t="s">
        <v>48</v>
      </c>
      <c r="C160">
        <v>1.9441993236541699</v>
      </c>
      <c r="D160">
        <v>160</v>
      </c>
      <c r="E160">
        <f t="shared" si="6"/>
        <v>3.6527194976806601</v>
      </c>
    </row>
    <row r="161" spans="1:5" x14ac:dyDescent="0.4">
      <c r="A161" s="6">
        <f t="shared" si="5"/>
        <v>47</v>
      </c>
      <c r="B161" t="s">
        <v>49</v>
      </c>
      <c r="C161">
        <v>1.8751128911971999</v>
      </c>
      <c r="D161">
        <v>161</v>
      </c>
      <c r="E161">
        <f t="shared" si="6"/>
        <v>3.6718115806579501</v>
      </c>
    </row>
    <row r="162" spans="1:5" x14ac:dyDescent="0.4">
      <c r="A162" s="6">
        <f t="shared" si="5"/>
        <v>48</v>
      </c>
      <c r="B162" t="s">
        <v>50</v>
      </c>
      <c r="C162">
        <v>1.8338668346405</v>
      </c>
      <c r="D162">
        <v>162</v>
      </c>
      <c r="E162">
        <f t="shared" si="6"/>
        <v>3.70166015625</v>
      </c>
    </row>
    <row r="163" spans="1:5" x14ac:dyDescent="0.4">
      <c r="A163" s="6">
        <f t="shared" si="5"/>
        <v>49</v>
      </c>
      <c r="B163" t="s">
        <v>51</v>
      </c>
      <c r="C163">
        <v>2.46750688552856</v>
      </c>
      <c r="D163">
        <v>163</v>
      </c>
      <c r="E163">
        <f t="shared" si="6"/>
        <v>3.9066920280456499</v>
      </c>
    </row>
    <row r="164" spans="1:5" x14ac:dyDescent="0.4">
      <c r="A164" s="6">
        <f t="shared" si="5"/>
        <v>5</v>
      </c>
      <c r="B164" t="s">
        <v>7</v>
      </c>
      <c r="C164">
        <v>2.1093618869781401</v>
      </c>
      <c r="D164">
        <v>164</v>
      </c>
      <c r="E164">
        <f t="shared" si="6"/>
        <v>3.9918236732482901</v>
      </c>
    </row>
    <row r="165" spans="1:5" x14ac:dyDescent="0.4">
      <c r="A165" s="6">
        <f t="shared" si="5"/>
        <v>50</v>
      </c>
      <c r="B165" t="s">
        <v>52</v>
      </c>
      <c r="C165">
        <v>2.3588802814483598</v>
      </c>
      <c r="D165">
        <v>165</v>
      </c>
      <c r="E165">
        <f t="shared" si="6"/>
        <v>4.0470333099365199</v>
      </c>
    </row>
    <row r="166" spans="1:5" x14ac:dyDescent="0.4">
      <c r="A166" s="6">
        <f t="shared" si="5"/>
        <v>51</v>
      </c>
      <c r="B166" t="s">
        <v>53</v>
      </c>
      <c r="C166">
        <v>2.4767863750457701</v>
      </c>
      <c r="D166">
        <v>166</v>
      </c>
      <c r="E166">
        <f t="shared" si="6"/>
        <v>1.7652838230132999</v>
      </c>
    </row>
    <row r="167" spans="1:5" x14ac:dyDescent="0.4">
      <c r="A167" s="6">
        <f t="shared" si="5"/>
        <v>52</v>
      </c>
      <c r="B167" t="s">
        <v>54</v>
      </c>
      <c r="C167">
        <v>3.3858268260955802</v>
      </c>
      <c r="D167">
        <v>167</v>
      </c>
      <c r="E167">
        <f t="shared" si="6"/>
        <v>1.7597908973693801</v>
      </c>
    </row>
    <row r="168" spans="1:5" x14ac:dyDescent="0.4">
      <c r="A168" s="6">
        <f t="shared" si="5"/>
        <v>53</v>
      </c>
      <c r="B168" t="s">
        <v>55</v>
      </c>
      <c r="C168">
        <v>3.3308253288268999</v>
      </c>
      <c r="D168">
        <v>168</v>
      </c>
      <c r="E168">
        <f t="shared" si="6"/>
        <v>1.7730584144592201</v>
      </c>
    </row>
    <row r="169" spans="1:5" x14ac:dyDescent="0.4">
      <c r="A169" s="6">
        <f t="shared" si="5"/>
        <v>54</v>
      </c>
      <c r="B169" t="s">
        <v>56</v>
      </c>
      <c r="C169">
        <v>3.4021921157836901</v>
      </c>
      <c r="D169">
        <v>169</v>
      </c>
      <c r="E169">
        <f t="shared" si="6"/>
        <v>2.56573486328125</v>
      </c>
    </row>
    <row r="170" spans="1:5" x14ac:dyDescent="0.4">
      <c r="A170" s="6">
        <f t="shared" si="5"/>
        <v>55</v>
      </c>
      <c r="B170" t="s">
        <v>57</v>
      </c>
      <c r="C170">
        <v>4.6705060005187899</v>
      </c>
      <c r="D170">
        <v>170</v>
      </c>
      <c r="E170">
        <f t="shared" si="6"/>
        <v>2.57752060890197</v>
      </c>
    </row>
    <row r="171" spans="1:5" x14ac:dyDescent="0.4">
      <c r="A171" s="6">
        <f t="shared" si="5"/>
        <v>56</v>
      </c>
      <c r="B171" t="s">
        <v>58</v>
      </c>
      <c r="C171">
        <v>4.6066184043884197</v>
      </c>
      <c r="D171">
        <v>171</v>
      </c>
      <c r="E171">
        <f t="shared" si="6"/>
        <v>2.6308612823486301</v>
      </c>
    </row>
    <row r="172" spans="1:5" x14ac:dyDescent="0.4">
      <c r="A172" s="6">
        <f t="shared" si="5"/>
        <v>57</v>
      </c>
      <c r="B172" t="s">
        <v>59</v>
      </c>
      <c r="C172">
        <v>4.5322322845458896</v>
      </c>
      <c r="D172">
        <v>172</v>
      </c>
      <c r="E172">
        <f t="shared" si="6"/>
        <v>2.6717858314514098</v>
      </c>
    </row>
    <row r="173" spans="1:5" x14ac:dyDescent="0.4">
      <c r="A173" s="6">
        <f t="shared" si="5"/>
        <v>58</v>
      </c>
      <c r="B173" t="s">
        <v>60</v>
      </c>
      <c r="C173">
        <v>5.0919003486633301</v>
      </c>
      <c r="D173">
        <v>173</v>
      </c>
      <c r="E173">
        <f t="shared" si="6"/>
        <v>2.46303033828735</v>
      </c>
    </row>
    <row r="174" spans="1:5" x14ac:dyDescent="0.4">
      <c r="A174" s="6">
        <f t="shared" si="5"/>
        <v>59</v>
      </c>
      <c r="B174" t="s">
        <v>61</v>
      </c>
      <c r="C174">
        <v>5.1054220199584899</v>
      </c>
      <c r="D174">
        <v>174</v>
      </c>
      <c r="E174">
        <f t="shared" si="6"/>
        <v>2.49927377700805</v>
      </c>
    </row>
    <row r="175" spans="1:5" x14ac:dyDescent="0.4">
      <c r="A175" s="6">
        <f t="shared" si="5"/>
        <v>6</v>
      </c>
      <c r="B175" t="s">
        <v>8</v>
      </c>
      <c r="C175">
        <v>2.0467348098754798</v>
      </c>
      <c r="D175">
        <v>175</v>
      </c>
      <c r="E175">
        <f t="shared" si="6"/>
        <v>1.7937197685241699</v>
      </c>
    </row>
    <row r="176" spans="1:5" x14ac:dyDescent="0.4">
      <c r="A176" s="6">
        <f t="shared" si="5"/>
        <v>60</v>
      </c>
      <c r="B176" t="s">
        <v>62</v>
      </c>
      <c r="C176">
        <v>5.1558647155761701</v>
      </c>
      <c r="D176">
        <v>176</v>
      </c>
      <c r="E176">
        <f t="shared" si="6"/>
        <v>1.77474725246429</v>
      </c>
    </row>
    <row r="177" spans="1:5" x14ac:dyDescent="0.4">
      <c r="A177" s="6">
        <f t="shared" si="5"/>
        <v>61</v>
      </c>
      <c r="B177" t="s">
        <v>63</v>
      </c>
      <c r="C177">
        <v>2.3577566146850502</v>
      </c>
      <c r="D177">
        <v>177</v>
      </c>
      <c r="E177">
        <f t="shared" si="6"/>
        <v>1.7706893682479801</v>
      </c>
    </row>
    <row r="178" spans="1:5" x14ac:dyDescent="0.4">
      <c r="A178" s="6">
        <f t="shared" si="5"/>
        <v>62</v>
      </c>
      <c r="B178" t="s">
        <v>64</v>
      </c>
      <c r="C178">
        <v>2.3381292819976802</v>
      </c>
      <c r="D178">
        <v>178</v>
      </c>
      <c r="E178">
        <f t="shared" si="6"/>
        <v>3.5991911888122501</v>
      </c>
    </row>
    <row r="179" spans="1:5" x14ac:dyDescent="0.4">
      <c r="A179" s="6">
        <f t="shared" si="5"/>
        <v>63</v>
      </c>
      <c r="B179" t="s">
        <v>65</v>
      </c>
      <c r="C179">
        <v>2.2951264381408598</v>
      </c>
      <c r="D179">
        <v>179</v>
      </c>
      <c r="E179">
        <f t="shared" si="6"/>
        <v>3.7117393016815101</v>
      </c>
    </row>
    <row r="180" spans="1:5" x14ac:dyDescent="0.4">
      <c r="A180" s="6">
        <f t="shared" si="5"/>
        <v>64</v>
      </c>
      <c r="B180" t="s">
        <v>66</v>
      </c>
      <c r="C180">
        <v>2.89166164398193</v>
      </c>
      <c r="D180">
        <v>180</v>
      </c>
      <c r="E180">
        <f t="shared" si="6"/>
        <v>3.7744431495666499</v>
      </c>
    </row>
    <row r="181" spans="1:5" x14ac:dyDescent="0.4">
      <c r="A181" s="6">
        <f t="shared" si="5"/>
        <v>65</v>
      </c>
      <c r="B181" t="s">
        <v>67</v>
      </c>
      <c r="C181">
        <v>2.8486213684082</v>
      </c>
      <c r="D181">
        <v>181</v>
      </c>
      <c r="E181">
        <f t="shared" si="6"/>
        <v>3.7261996269225999</v>
      </c>
    </row>
    <row r="182" spans="1:5" x14ac:dyDescent="0.4">
      <c r="A182" s="6">
        <f t="shared" si="5"/>
        <v>66</v>
      </c>
      <c r="B182" t="s">
        <v>68</v>
      </c>
      <c r="C182">
        <v>2.9387121200561501</v>
      </c>
      <c r="D182">
        <v>182</v>
      </c>
      <c r="E182">
        <f t="shared" si="6"/>
        <v>3.7765798568725502</v>
      </c>
    </row>
    <row r="183" spans="1:5" x14ac:dyDescent="0.4">
      <c r="A183" s="6">
        <f t="shared" si="5"/>
        <v>67</v>
      </c>
      <c r="B183" t="s">
        <v>69</v>
      </c>
      <c r="C183">
        <v>3.82792973518371</v>
      </c>
      <c r="D183">
        <v>183</v>
      </c>
      <c r="E183">
        <f t="shared" si="6"/>
        <v>3.7563166618347101</v>
      </c>
    </row>
    <row r="184" spans="1:5" x14ac:dyDescent="0.4">
      <c r="A184" s="6">
        <f t="shared" si="5"/>
        <v>68</v>
      </c>
      <c r="B184" t="s">
        <v>70</v>
      </c>
      <c r="C184">
        <v>3.8526651859283398</v>
      </c>
      <c r="D184">
        <v>184</v>
      </c>
      <c r="E184">
        <f t="shared" si="6"/>
        <v>4.7780795097351003</v>
      </c>
    </row>
    <row r="185" spans="1:5" x14ac:dyDescent="0.4">
      <c r="A185" s="6">
        <f t="shared" si="5"/>
        <v>69</v>
      </c>
      <c r="B185" t="s">
        <v>71</v>
      </c>
      <c r="C185">
        <v>3.9077963829040501</v>
      </c>
      <c r="D185">
        <v>185</v>
      </c>
      <c r="E185">
        <f t="shared" si="6"/>
        <v>4.7597908973693803</v>
      </c>
    </row>
    <row r="186" spans="1:5" x14ac:dyDescent="0.4">
      <c r="A186" s="6">
        <f t="shared" si="5"/>
        <v>7</v>
      </c>
      <c r="B186" t="s">
        <v>9</v>
      </c>
      <c r="C186">
        <v>2.79462218284606</v>
      </c>
      <c r="D186">
        <v>186</v>
      </c>
      <c r="E186">
        <f t="shared" si="6"/>
        <v>4.6484622955322203</v>
      </c>
    </row>
    <row r="187" spans="1:5" x14ac:dyDescent="0.4">
      <c r="A187" s="6">
        <f t="shared" si="5"/>
        <v>70</v>
      </c>
      <c r="B187" t="s">
        <v>72</v>
      </c>
      <c r="C187">
        <v>4.5384430885314897</v>
      </c>
      <c r="D187">
        <v>187</v>
      </c>
      <c r="E187">
        <f t="shared" si="6"/>
        <v>4.7011775970458896</v>
      </c>
    </row>
    <row r="188" spans="1:5" x14ac:dyDescent="0.4">
      <c r="A188" s="6">
        <f t="shared" si="5"/>
        <v>71</v>
      </c>
      <c r="B188" t="s">
        <v>73</v>
      </c>
      <c r="C188">
        <v>4.6394348144531197</v>
      </c>
      <c r="D188">
        <v>188</v>
      </c>
      <c r="E188">
        <f t="shared" si="6"/>
        <v>4.7823157310485804</v>
      </c>
    </row>
    <row r="189" spans="1:5" x14ac:dyDescent="0.4">
      <c r="A189" s="6">
        <f t="shared" si="5"/>
        <v>72</v>
      </c>
      <c r="B189" t="s">
        <v>74</v>
      </c>
      <c r="C189">
        <v>4.5666046142578098</v>
      </c>
      <c r="D189">
        <v>189</v>
      </c>
      <c r="E189">
        <f t="shared" si="6"/>
        <v>4.7663307189941397</v>
      </c>
    </row>
    <row r="190" spans="1:5" x14ac:dyDescent="0.4">
      <c r="A190" s="6">
        <f t="shared" si="5"/>
        <v>73</v>
      </c>
      <c r="B190" t="s">
        <v>75</v>
      </c>
      <c r="C190">
        <v>4.9948358535766602</v>
      </c>
      <c r="D190">
        <v>190</v>
      </c>
      <c r="E190" t="e">
        <f t="shared" si="6"/>
        <v>#N/A</v>
      </c>
    </row>
    <row r="191" spans="1:5" x14ac:dyDescent="0.4">
      <c r="A191" s="6">
        <f t="shared" si="5"/>
        <v>74</v>
      </c>
      <c r="B191" t="s">
        <v>76</v>
      </c>
      <c r="C191">
        <v>5.0659966468811</v>
      </c>
      <c r="D191">
        <v>191</v>
      </c>
      <c r="E191">
        <f t="shared" si="6"/>
        <v>1.8857192993164</v>
      </c>
    </row>
    <row r="192" spans="1:5" x14ac:dyDescent="0.4">
      <c r="A192" s="6">
        <f t="shared" si="5"/>
        <v>75</v>
      </c>
      <c r="B192" t="s">
        <v>77</v>
      </c>
      <c r="C192">
        <v>4.9641542434692303</v>
      </c>
      <c r="D192">
        <v>192</v>
      </c>
      <c r="E192">
        <f t="shared" si="6"/>
        <v>1.89190602302551</v>
      </c>
    </row>
    <row r="193" spans="1:5" x14ac:dyDescent="0.4">
      <c r="A193" s="6">
        <f t="shared" si="5"/>
        <v>76</v>
      </c>
      <c r="B193" t="s">
        <v>78</v>
      </c>
      <c r="C193">
        <v>2.32841491699218</v>
      </c>
      <c r="D193">
        <v>193</v>
      </c>
      <c r="E193">
        <f t="shared" si="6"/>
        <v>2.5417883396148602</v>
      </c>
    </row>
    <row r="194" spans="1:5" x14ac:dyDescent="0.4">
      <c r="A194" s="6">
        <f t="shared" ref="A194:A218" si="7">VALUE(LEFT(B194,FIND(".",B194)-1))</f>
        <v>77</v>
      </c>
      <c r="B194" t="s">
        <v>79</v>
      </c>
      <c r="C194">
        <v>2.3626849651336599</v>
      </c>
      <c r="D194">
        <v>194</v>
      </c>
      <c r="E194">
        <f t="shared" ref="E194:E218" si="8">VLOOKUP(D194,A$1:C$218,3,0)</f>
        <v>2.9527301788329998</v>
      </c>
    </row>
    <row r="195" spans="1:5" x14ac:dyDescent="0.4">
      <c r="A195" s="6">
        <f t="shared" si="7"/>
        <v>78</v>
      </c>
      <c r="B195" t="s">
        <v>80</v>
      </c>
      <c r="C195">
        <v>2.3565301895141602</v>
      </c>
      <c r="D195">
        <v>195</v>
      </c>
      <c r="E195">
        <f t="shared" si="8"/>
        <v>2.8357257843017498</v>
      </c>
    </row>
    <row r="196" spans="1:5" x14ac:dyDescent="0.4">
      <c r="A196" s="6">
        <f t="shared" si="7"/>
        <v>79</v>
      </c>
      <c r="B196" t="s">
        <v>81</v>
      </c>
      <c r="C196">
        <v>3.1616642475128098</v>
      </c>
      <c r="D196">
        <v>196</v>
      </c>
      <c r="E196">
        <f t="shared" si="8"/>
        <v>2.5316901206970202</v>
      </c>
    </row>
    <row r="197" spans="1:5" x14ac:dyDescent="0.4">
      <c r="A197" s="6">
        <f t="shared" si="7"/>
        <v>8</v>
      </c>
      <c r="B197" t="s">
        <v>10</v>
      </c>
      <c r="C197">
        <v>2.9235572814941402</v>
      </c>
      <c r="D197">
        <v>197</v>
      </c>
      <c r="E197">
        <f t="shared" si="8"/>
        <v>3.1607470512390101</v>
      </c>
    </row>
    <row r="198" spans="1:5" x14ac:dyDescent="0.4">
      <c r="A198" s="6">
        <f t="shared" si="7"/>
        <v>80</v>
      </c>
      <c r="B198" t="s">
        <v>82</v>
      </c>
      <c r="C198">
        <v>3.1448788642883301</v>
      </c>
      <c r="D198">
        <v>198</v>
      </c>
      <c r="E198">
        <f t="shared" si="8"/>
        <v>2.9486167430877601</v>
      </c>
    </row>
    <row r="199" spans="1:5" x14ac:dyDescent="0.4">
      <c r="A199" s="6">
        <f t="shared" si="7"/>
        <v>81</v>
      </c>
      <c r="B199" t="s">
        <v>83</v>
      </c>
      <c r="C199">
        <v>3.1199562549590998</v>
      </c>
      <c r="D199">
        <v>199</v>
      </c>
      <c r="E199">
        <f t="shared" si="8"/>
        <v>3.5545549392700102</v>
      </c>
    </row>
    <row r="200" spans="1:5" x14ac:dyDescent="0.4">
      <c r="A200" s="6">
        <f t="shared" si="7"/>
        <v>82</v>
      </c>
      <c r="B200" t="s">
        <v>84</v>
      </c>
      <c r="C200">
        <v>3.87586450576782</v>
      </c>
      <c r="D200">
        <v>200</v>
      </c>
      <c r="E200">
        <f t="shared" si="8"/>
        <v>3.7155191898345898</v>
      </c>
    </row>
    <row r="201" spans="1:5" x14ac:dyDescent="0.4">
      <c r="A201" s="6">
        <f t="shared" si="7"/>
        <v>83</v>
      </c>
      <c r="B201" t="s">
        <v>85</v>
      </c>
      <c r="C201">
        <v>3.74453473091125</v>
      </c>
      <c r="D201">
        <v>201</v>
      </c>
      <c r="E201">
        <f t="shared" si="8"/>
        <v>3.6366987228393501</v>
      </c>
    </row>
    <row r="202" spans="1:5" x14ac:dyDescent="0.4">
      <c r="A202" s="6">
        <f t="shared" si="7"/>
        <v>84</v>
      </c>
      <c r="B202" t="s">
        <v>86</v>
      </c>
      <c r="C202">
        <v>3.92707967758178</v>
      </c>
      <c r="D202">
        <v>202</v>
      </c>
      <c r="E202">
        <f t="shared" si="8"/>
        <v>3.8229167461395201</v>
      </c>
    </row>
    <row r="203" spans="1:5" x14ac:dyDescent="0.4">
      <c r="A203" s="6">
        <f t="shared" si="7"/>
        <v>85</v>
      </c>
      <c r="B203" t="s">
        <v>87</v>
      </c>
      <c r="C203">
        <v>4.0533452033996502</v>
      </c>
      <c r="D203">
        <v>203</v>
      </c>
      <c r="E203">
        <f t="shared" si="8"/>
        <v>4.1234507560729901</v>
      </c>
    </row>
    <row r="204" spans="1:5" x14ac:dyDescent="0.4">
      <c r="A204" s="6">
        <f t="shared" si="7"/>
        <v>86</v>
      </c>
      <c r="B204" t="s">
        <v>88</v>
      </c>
      <c r="C204">
        <v>4.2244210243225098</v>
      </c>
      <c r="D204">
        <v>204</v>
      </c>
      <c r="E204">
        <f t="shared" si="8"/>
        <v>3.9507708549499498</v>
      </c>
    </row>
    <row r="205" spans="1:5" x14ac:dyDescent="0.4">
      <c r="A205" s="6">
        <f t="shared" si="7"/>
        <v>87</v>
      </c>
      <c r="B205" t="s">
        <v>89</v>
      </c>
      <c r="C205">
        <v>4.24619388580322</v>
      </c>
      <c r="D205">
        <v>205</v>
      </c>
      <c r="E205">
        <f t="shared" si="8"/>
        <v>4.2396574020385698</v>
      </c>
    </row>
    <row r="206" spans="1:5" x14ac:dyDescent="0.4">
      <c r="A206" s="6">
        <f t="shared" si="7"/>
        <v>88</v>
      </c>
      <c r="B206" t="s">
        <v>90</v>
      </c>
      <c r="C206">
        <v>4.2941541671752903</v>
      </c>
      <c r="D206">
        <v>206</v>
      </c>
      <c r="E206">
        <f t="shared" si="8"/>
        <v>1.8888734579086299</v>
      </c>
    </row>
    <row r="207" spans="1:5" x14ac:dyDescent="0.4">
      <c r="A207" s="6">
        <f t="shared" si="7"/>
        <v>89</v>
      </c>
      <c r="B207" t="s">
        <v>91</v>
      </c>
      <c r="C207">
        <v>4.3757286071777299</v>
      </c>
      <c r="D207">
        <v>207</v>
      </c>
      <c r="E207">
        <f t="shared" si="8"/>
        <v>1.93211281299591</v>
      </c>
    </row>
    <row r="208" spans="1:5" x14ac:dyDescent="0.4">
      <c r="A208" s="6">
        <f t="shared" si="7"/>
        <v>9</v>
      </c>
      <c r="B208" t="s">
        <v>11</v>
      </c>
      <c r="C208">
        <v>2.9410607814788801</v>
      </c>
      <c r="D208">
        <v>208</v>
      </c>
      <c r="E208">
        <f t="shared" si="8"/>
        <v>1.8948994874954199</v>
      </c>
    </row>
    <row r="209" spans="1:5" x14ac:dyDescent="0.4">
      <c r="A209" s="6">
        <f t="shared" si="7"/>
        <v>90</v>
      </c>
      <c r="B209" t="s">
        <v>92</v>
      </c>
      <c r="C209">
        <v>4.2345871925354004</v>
      </c>
      <c r="D209">
        <v>209</v>
      </c>
      <c r="E209">
        <f t="shared" si="8"/>
        <v>3.2828621864318799</v>
      </c>
    </row>
    <row r="210" spans="1:5" x14ac:dyDescent="0.4">
      <c r="A210" s="6">
        <f t="shared" si="7"/>
        <v>91</v>
      </c>
      <c r="B210" t="s">
        <v>93</v>
      </c>
      <c r="C210">
        <v>1.88434314727783</v>
      </c>
      <c r="D210">
        <v>210</v>
      </c>
      <c r="E210">
        <f t="shared" si="8"/>
        <v>3.07190537452697</v>
      </c>
    </row>
    <row r="211" spans="1:5" x14ac:dyDescent="0.4">
      <c r="A211" s="6">
        <f t="shared" si="7"/>
        <v>92</v>
      </c>
      <c r="B211" t="s">
        <v>94</v>
      </c>
      <c r="C211">
        <v>1.99661469459533</v>
      </c>
      <c r="D211">
        <v>211</v>
      </c>
      <c r="E211">
        <f t="shared" si="8"/>
        <v>3.2107162475585902</v>
      </c>
    </row>
    <row r="212" spans="1:5" x14ac:dyDescent="0.4">
      <c r="A212" s="6">
        <f t="shared" si="7"/>
        <v>93</v>
      </c>
      <c r="B212" t="s">
        <v>95</v>
      </c>
      <c r="C212">
        <v>1.8592126369476301</v>
      </c>
      <c r="D212">
        <v>212</v>
      </c>
      <c r="E212">
        <f t="shared" si="8"/>
        <v>4.1266069412231401</v>
      </c>
    </row>
    <row r="213" spans="1:5" x14ac:dyDescent="0.4">
      <c r="A213" s="6">
        <f t="shared" si="7"/>
        <v>94</v>
      </c>
      <c r="B213" t="s">
        <v>96</v>
      </c>
      <c r="C213">
        <v>3.1120510101318302</v>
      </c>
      <c r="D213">
        <v>213</v>
      </c>
      <c r="E213">
        <f t="shared" si="8"/>
        <v>4.1615800857543901</v>
      </c>
    </row>
    <row r="214" spans="1:5" x14ac:dyDescent="0.4">
      <c r="A214" s="6">
        <f t="shared" si="7"/>
        <v>95</v>
      </c>
      <c r="B214" t="s">
        <v>97</v>
      </c>
      <c r="C214">
        <v>2.93454885482788</v>
      </c>
      <c r="D214">
        <v>214</v>
      </c>
      <c r="E214">
        <f t="shared" si="8"/>
        <v>4.1327705383300701</v>
      </c>
    </row>
    <row r="215" spans="1:5" x14ac:dyDescent="0.4">
      <c r="A215" s="6">
        <f t="shared" si="7"/>
        <v>96</v>
      </c>
      <c r="B215" t="s">
        <v>98</v>
      </c>
      <c r="C215">
        <v>3.1517477035522399</v>
      </c>
      <c r="D215">
        <v>215</v>
      </c>
      <c r="E215">
        <f t="shared" si="8"/>
        <v>4.35292625427246</v>
      </c>
    </row>
    <row r="216" spans="1:5" x14ac:dyDescent="0.4">
      <c r="A216" s="6">
        <f t="shared" si="7"/>
        <v>97</v>
      </c>
      <c r="B216" t="s">
        <v>99</v>
      </c>
      <c r="C216">
        <v>4.0655603408813397</v>
      </c>
      <c r="D216">
        <v>216</v>
      </c>
      <c r="E216">
        <f t="shared" si="8"/>
        <v>4.4605250358581499</v>
      </c>
    </row>
    <row r="217" spans="1:5" x14ac:dyDescent="0.4">
      <c r="A217" s="6">
        <f t="shared" si="7"/>
        <v>98</v>
      </c>
      <c r="B217" t="s">
        <v>100</v>
      </c>
      <c r="C217">
        <v>4.1670112609863201</v>
      </c>
      <c r="D217">
        <v>217</v>
      </c>
      <c r="E217">
        <f t="shared" si="8"/>
        <v>4.6806292533874503</v>
      </c>
    </row>
    <row r="218" spans="1:5" x14ac:dyDescent="0.4">
      <c r="A218" s="6">
        <f t="shared" si="7"/>
        <v>99</v>
      </c>
      <c r="B218" t="s">
        <v>101</v>
      </c>
      <c r="C218">
        <v>4.0948753356933496</v>
      </c>
      <c r="D218">
        <v>218</v>
      </c>
      <c r="E218">
        <f t="shared" si="8"/>
        <v>5.8154830932617099</v>
      </c>
    </row>
  </sheetData>
  <autoFilter ref="B1:C166" xr:uid="{00000000-0009-0000-0000-000003000000}"/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299"/>
  <sheetViews>
    <sheetView tabSelected="1" topLeftCell="B1" zoomScale="115" zoomScaleNormal="115" workbookViewId="0">
      <selection activeCell="K10" sqref="K10"/>
    </sheetView>
  </sheetViews>
  <sheetFormatPr defaultColWidth="9" defaultRowHeight="13.9" x14ac:dyDescent="0.4"/>
  <cols>
    <col min="9" max="9" width="11.53125" customWidth="1"/>
    <col min="11" max="11" width="12.796875"/>
    <col min="12" max="12" width="13.86328125"/>
    <col min="13" max="13" width="21.19921875" customWidth="1"/>
  </cols>
  <sheetData>
    <row r="1" spans="1:14" x14ac:dyDescent="0.4">
      <c r="A1" t="s">
        <v>138</v>
      </c>
      <c r="B1" t="s">
        <v>139</v>
      </c>
      <c r="C1" t="s">
        <v>140</v>
      </c>
      <c r="D1" t="s">
        <v>141</v>
      </c>
      <c r="E1" t="s">
        <v>142</v>
      </c>
      <c r="F1" s="2" t="s">
        <v>1</v>
      </c>
      <c r="G1" s="3" t="s">
        <v>143</v>
      </c>
      <c r="H1" t="s">
        <v>144</v>
      </c>
      <c r="I1" s="8" t="s">
        <v>233</v>
      </c>
      <c r="J1" t="s">
        <v>2</v>
      </c>
      <c r="K1" t="s">
        <v>0</v>
      </c>
    </row>
    <row r="2" spans="1:14" x14ac:dyDescent="0.4">
      <c r="A2" s="4">
        <v>1</v>
      </c>
      <c r="B2" s="7">
        <v>1.44325447082519</v>
      </c>
      <c r="C2" s="1">
        <v>1.2</v>
      </c>
      <c r="D2">
        <f>ABS(B2-C2)</f>
        <v>0.24325447082519003</v>
      </c>
      <c r="E2">
        <f>AVERAGE(D2:D15)</f>
        <v>0.28792485509599919</v>
      </c>
      <c r="F2">
        <f>AVERAGE(D31:D60)</f>
        <v>0.36043136517206448</v>
      </c>
      <c r="G2">
        <f>AVERAGE(D$107:D$121)</f>
        <v>0.46757400830587276</v>
      </c>
      <c r="H2">
        <f>AVERAGE(D$137:D$151)</f>
        <v>0.36923868020375517</v>
      </c>
      <c r="I2">
        <f>AVERAGE(D$92:D$106)</f>
        <v>0.25277975400288938</v>
      </c>
      <c r="J2">
        <f>AVERAGE(D$77:D$90)</f>
        <v>0.30240632125309358</v>
      </c>
      <c r="K2">
        <f>AVERAGE(D167:D190)</f>
        <v>0.31436320515473415</v>
      </c>
      <c r="M2" s="7"/>
      <c r="N2" s="5"/>
    </row>
    <row r="3" spans="1:14" x14ac:dyDescent="0.4">
      <c r="A3" s="4">
        <v>2</v>
      </c>
      <c r="B3">
        <v>1.4561793804168699</v>
      </c>
      <c r="C3" s="1">
        <v>1.2</v>
      </c>
      <c r="D3">
        <f>ABS(B3-C3)</f>
        <v>0.25617938041686994</v>
      </c>
      <c r="E3">
        <f>AVERAGE(D17:D31)</f>
        <v>0.39623068173726672</v>
      </c>
      <c r="G3">
        <f>AVERAGE(D$122:D$136)</f>
        <v>0.13535469055175722</v>
      </c>
      <c r="H3">
        <f>AVERAGE(D$152:D$166)</f>
        <v>0.69147228876749867</v>
      </c>
      <c r="M3" s="7"/>
      <c r="N3" s="5"/>
    </row>
    <row r="4" spans="1:14" x14ac:dyDescent="0.4">
      <c r="A4" s="4">
        <v>3</v>
      </c>
      <c r="B4">
        <v>1.4879237413406301</v>
      </c>
      <c r="C4" s="1">
        <v>1.2</v>
      </c>
      <c r="D4">
        <f>ABS(B4-C4)</f>
        <v>0.28792374134063015</v>
      </c>
      <c r="E4">
        <f>AVERAGE(D62:D76)</f>
        <v>0.14899893442789852</v>
      </c>
      <c r="M4" s="7"/>
      <c r="N4" s="5"/>
    </row>
    <row r="5" spans="1:14" x14ac:dyDescent="0.4">
      <c r="A5" s="4">
        <v>4</v>
      </c>
      <c r="B5" s="7">
        <v>1.82922255992889</v>
      </c>
      <c r="C5" s="1">
        <v>2.15</v>
      </c>
      <c r="D5">
        <f>ABS(B5-C5)</f>
        <v>0.32077744007110987</v>
      </c>
      <c r="G5">
        <f>AVERAGE(G2:G3)</f>
        <v>0.301464349428815</v>
      </c>
      <c r="H5">
        <f>AVERAGE(H2:H3)</f>
        <v>0.53035548448562686</v>
      </c>
      <c r="M5" s="7"/>
      <c r="N5" s="5"/>
    </row>
    <row r="6" spans="1:14" x14ac:dyDescent="0.4">
      <c r="A6" s="4">
        <v>5</v>
      </c>
      <c r="B6" s="7">
        <v>1.8348903656005799</v>
      </c>
      <c r="C6" s="1">
        <v>2.15</v>
      </c>
      <c r="D6">
        <f>ABS(B6-C6)</f>
        <v>0.31510963439941997</v>
      </c>
      <c r="F6">
        <f>(1-(F2-E$7)/E$7)*100</f>
        <v>70.216852598844667</v>
      </c>
      <c r="G6">
        <f>(1-(G5-E$7)/E$7)*100</f>
        <v>91.449535532415126</v>
      </c>
      <c r="H6">
        <f>(1-(H2-$E$7)/$E$7)*100</f>
        <v>67.045538514065584</v>
      </c>
      <c r="I6">
        <f>(1-(I2-$E$7)/$E$7)*100</f>
        <v>108.97975247486183</v>
      </c>
      <c r="J6">
        <f>(1-(J2-$E$7)/$E$7)*100</f>
        <v>91.110352875379377</v>
      </c>
      <c r="K6">
        <f>(1-(K2-$E$7)/$E$7)*100</f>
        <v>86.804950582978122</v>
      </c>
      <c r="M6" s="7"/>
      <c r="N6" s="5"/>
    </row>
    <row r="7" spans="1:14" x14ac:dyDescent="0.4">
      <c r="A7" s="4">
        <v>6</v>
      </c>
      <c r="B7" s="7">
        <v>1.8691651821136399</v>
      </c>
      <c r="C7" s="1">
        <v>2.15</v>
      </c>
      <c r="D7">
        <f>ABS(B7-C7)</f>
        <v>0.28083481788636</v>
      </c>
      <c r="E7">
        <f>AVERAGE(E2:E4)</f>
        <v>0.27771815708705483</v>
      </c>
      <c r="M7" s="7"/>
      <c r="N7" s="5"/>
    </row>
    <row r="8" spans="1:14" x14ac:dyDescent="0.4">
      <c r="A8" s="4">
        <v>7</v>
      </c>
      <c r="B8">
        <v>2.6399405002593901</v>
      </c>
      <c r="C8" s="1">
        <v>3.15</v>
      </c>
      <c r="D8">
        <f>ABS(B8-C8)</f>
        <v>0.51005949974060982</v>
      </c>
      <c r="M8" s="7"/>
      <c r="N8" s="5"/>
    </row>
    <row r="9" spans="1:14" x14ac:dyDescent="0.4">
      <c r="A9" s="4">
        <v>8</v>
      </c>
      <c r="B9">
        <v>2.8416478633880602</v>
      </c>
      <c r="C9" s="1">
        <v>3.15</v>
      </c>
      <c r="D9">
        <f>ABS(B9-C9)</f>
        <v>0.30835213661193972</v>
      </c>
      <c r="M9" s="7"/>
      <c r="N9" s="5"/>
    </row>
    <row r="10" spans="1:14" x14ac:dyDescent="0.4">
      <c r="A10" s="4">
        <v>9</v>
      </c>
      <c r="B10">
        <v>2.6431748867034899</v>
      </c>
      <c r="C10" s="1">
        <v>3.15</v>
      </c>
      <c r="D10">
        <f>ABS(B10-C10)</f>
        <v>0.50682511329651003</v>
      </c>
      <c r="M10" s="7"/>
      <c r="N10" s="5"/>
    </row>
    <row r="11" spans="1:14" x14ac:dyDescent="0.4">
      <c r="A11" s="4">
        <v>10</v>
      </c>
      <c r="B11">
        <v>4.36252641677856</v>
      </c>
      <c r="C11" s="1">
        <v>4.1500000000000004</v>
      </c>
      <c r="D11">
        <f>ABS(B11-C11)</f>
        <v>0.21252641677855966</v>
      </c>
      <c r="M11" s="7"/>
      <c r="N11" s="5"/>
    </row>
    <row r="12" spans="1:14" x14ac:dyDescent="0.4">
      <c r="A12" s="4">
        <v>11</v>
      </c>
      <c r="B12" s="7">
        <v>4.35150051116943</v>
      </c>
      <c r="C12" s="1">
        <v>4.1500000000000004</v>
      </c>
      <c r="D12">
        <f>ABS(B12-C12)</f>
        <v>0.20150051116942969</v>
      </c>
      <c r="M12" s="7"/>
      <c r="N12" s="5"/>
    </row>
    <row r="13" spans="1:14" x14ac:dyDescent="0.4">
      <c r="A13" s="4">
        <v>12</v>
      </c>
      <c r="B13">
        <v>4.3330893516540501</v>
      </c>
      <c r="C13" s="1">
        <v>4.1500000000000004</v>
      </c>
      <c r="D13">
        <f>ABS(B13-C13)</f>
        <v>0.18308935165404971</v>
      </c>
      <c r="M13" s="7"/>
      <c r="N13" s="5"/>
    </row>
    <row r="14" spans="1:14" x14ac:dyDescent="0.4">
      <c r="A14" s="4">
        <v>13</v>
      </c>
      <c r="B14">
        <v>5.3797283172607404</v>
      </c>
      <c r="C14" s="1">
        <v>5.15</v>
      </c>
      <c r="D14">
        <f>ABS(B14-C14)</f>
        <v>0.22972831726074006</v>
      </c>
      <c r="M14" s="7"/>
      <c r="N14" s="5"/>
    </row>
    <row r="15" spans="1:14" x14ac:dyDescent="0.4">
      <c r="A15" s="4">
        <v>14</v>
      </c>
      <c r="B15">
        <v>5.3247871398925701</v>
      </c>
      <c r="C15" s="1">
        <v>5.15</v>
      </c>
      <c r="D15">
        <f>ABS(B15-C15)</f>
        <v>0.17478713989256978</v>
      </c>
      <c r="M15" s="7"/>
      <c r="N15" s="5"/>
    </row>
    <row r="16" spans="1:14" x14ac:dyDescent="0.4">
      <c r="A16" s="4">
        <v>15</v>
      </c>
      <c r="B16">
        <v>5.3248882293701101</v>
      </c>
      <c r="C16" s="1">
        <v>5.15</v>
      </c>
      <c r="D16">
        <f>ABS(B16-C16)</f>
        <v>0.17488822937010973</v>
      </c>
      <c r="M16" s="7"/>
      <c r="N16" s="5"/>
    </row>
    <row r="17" spans="1:14" x14ac:dyDescent="0.4">
      <c r="A17" s="4">
        <v>16</v>
      </c>
      <c r="B17">
        <v>2.0653560161590501</v>
      </c>
      <c r="C17" s="1">
        <v>1.75</v>
      </c>
      <c r="D17">
        <f>ABS(B17-C17)</f>
        <v>0.31535601615905007</v>
      </c>
      <c r="M17" s="7"/>
      <c r="N17" s="5"/>
    </row>
    <row r="18" spans="1:14" x14ac:dyDescent="0.4">
      <c r="A18" s="4">
        <v>17</v>
      </c>
      <c r="B18">
        <v>2.08340191841125</v>
      </c>
      <c r="C18" s="1">
        <v>1.75</v>
      </c>
      <c r="D18">
        <f>ABS(B18-C18)</f>
        <v>0.33340191841125</v>
      </c>
      <c r="M18" s="7"/>
      <c r="N18" s="5"/>
    </row>
    <row r="19" spans="1:14" x14ac:dyDescent="0.4">
      <c r="A19" s="4">
        <v>18</v>
      </c>
      <c r="B19">
        <v>2.0263931751251198</v>
      </c>
      <c r="C19" s="1">
        <v>1.75</v>
      </c>
      <c r="D19">
        <f>ABS(B19-C19)</f>
        <v>0.27639317512511985</v>
      </c>
      <c r="M19" s="7"/>
      <c r="N19" s="5"/>
    </row>
    <row r="20" spans="1:14" x14ac:dyDescent="0.4">
      <c r="A20" s="4">
        <v>19</v>
      </c>
      <c r="B20">
        <v>2.7779083251953098</v>
      </c>
      <c r="C20" s="1">
        <v>2.75</v>
      </c>
      <c r="D20">
        <f>ABS(B20-C20)</f>
        <v>2.7908325195309835E-2</v>
      </c>
      <c r="M20" s="7"/>
      <c r="N20" s="5"/>
    </row>
    <row r="21" spans="1:14" x14ac:dyDescent="0.4">
      <c r="A21" s="4">
        <v>20</v>
      </c>
      <c r="B21">
        <v>2.6490509510040199</v>
      </c>
      <c r="C21" s="1">
        <v>2.75</v>
      </c>
      <c r="D21">
        <f>ABS(B21-C21)</f>
        <v>0.10094904899598012</v>
      </c>
      <c r="M21" s="7"/>
      <c r="N21" s="5"/>
    </row>
    <row r="22" spans="1:14" x14ac:dyDescent="0.4">
      <c r="A22" s="4">
        <v>21</v>
      </c>
      <c r="B22">
        <v>2.60978031158447</v>
      </c>
      <c r="C22" s="1">
        <v>2.75</v>
      </c>
      <c r="D22">
        <f>ABS(B22-C22)</f>
        <v>0.14021968841553001</v>
      </c>
      <c r="M22" s="7"/>
      <c r="N22" s="5"/>
    </row>
    <row r="23" spans="1:14" x14ac:dyDescent="0.4">
      <c r="A23" s="4">
        <v>22</v>
      </c>
      <c r="B23">
        <v>3.2908952236175502</v>
      </c>
      <c r="C23" s="1">
        <v>3.75</v>
      </c>
      <c r="D23">
        <f>ABS(B23-C23)</f>
        <v>0.45910477638244984</v>
      </c>
      <c r="M23" s="7"/>
      <c r="N23" s="5"/>
    </row>
    <row r="24" spans="1:14" x14ac:dyDescent="0.4">
      <c r="A24" s="4">
        <v>23</v>
      </c>
      <c r="B24">
        <v>3.1849505901336599</v>
      </c>
      <c r="C24" s="1">
        <v>3.75</v>
      </c>
      <c r="D24">
        <f>ABS(B24-C24)</f>
        <v>0.56504940986634011</v>
      </c>
      <c r="M24" s="7"/>
      <c r="N24" s="5"/>
    </row>
    <row r="25" spans="1:14" x14ac:dyDescent="0.4">
      <c r="A25" s="4">
        <v>24</v>
      </c>
      <c r="B25">
        <v>3.3204858303070002</v>
      </c>
      <c r="C25" s="1">
        <v>3.75</v>
      </c>
      <c r="D25">
        <f>ABS(B25-C25)</f>
        <v>0.42951416969299983</v>
      </c>
      <c r="M25" s="7"/>
      <c r="N25" s="5"/>
    </row>
    <row r="26" spans="1:14" x14ac:dyDescent="0.4">
      <c r="A26" s="4">
        <v>25</v>
      </c>
      <c r="B26">
        <v>4.1104683876037598</v>
      </c>
      <c r="C26" s="1">
        <v>4.75</v>
      </c>
      <c r="D26">
        <f>ABS(B26-C26)</f>
        <v>0.63953161239624023</v>
      </c>
      <c r="M26" s="7"/>
      <c r="N26" s="5"/>
    </row>
    <row r="27" spans="1:14" x14ac:dyDescent="0.4">
      <c r="A27" s="4">
        <v>26</v>
      </c>
      <c r="B27">
        <v>4.3425993919372496</v>
      </c>
      <c r="C27" s="1">
        <v>4.75</v>
      </c>
      <c r="D27">
        <f>ABS(B27-C27)</f>
        <v>0.40740060806275036</v>
      </c>
      <c r="M27" s="7"/>
      <c r="N27" s="5"/>
    </row>
    <row r="28" spans="1:14" x14ac:dyDescent="0.4">
      <c r="A28" s="4">
        <v>27</v>
      </c>
      <c r="B28">
        <v>4.2343444824218697</v>
      </c>
      <c r="C28" s="1">
        <v>4.75</v>
      </c>
      <c r="D28">
        <f>ABS(B28-C28)</f>
        <v>0.51565551757813033</v>
      </c>
      <c r="M28" s="7"/>
      <c r="N28" s="5"/>
    </row>
    <row r="29" spans="1:14" x14ac:dyDescent="0.4">
      <c r="A29" s="4">
        <v>28</v>
      </c>
      <c r="B29">
        <v>5.23707675933837</v>
      </c>
      <c r="C29" s="1">
        <v>5.75</v>
      </c>
      <c r="D29">
        <f>ABS(B29-C29)</f>
        <v>0.51292324066162998</v>
      </c>
      <c r="M29" s="7"/>
      <c r="N29" s="5"/>
    </row>
    <row r="30" spans="1:14" x14ac:dyDescent="0.4">
      <c r="A30" s="4">
        <v>29</v>
      </c>
      <c r="B30">
        <v>5.19020223617553</v>
      </c>
      <c r="C30" s="1">
        <v>5.75</v>
      </c>
      <c r="D30">
        <f>ABS(B30-C30)</f>
        <v>0.55979776382447</v>
      </c>
      <c r="M30" s="7"/>
      <c r="N30" s="5"/>
    </row>
    <row r="31" spans="1:14" x14ac:dyDescent="0.4">
      <c r="A31" s="4">
        <v>30</v>
      </c>
      <c r="B31">
        <v>5.0897450447082502</v>
      </c>
      <c r="C31" s="1">
        <v>5.75</v>
      </c>
      <c r="D31">
        <f>ABS(B31-C31)</f>
        <v>0.66025495529174982</v>
      </c>
      <c r="M31" s="7"/>
      <c r="N31" s="5"/>
    </row>
    <row r="32" spans="1:14" x14ac:dyDescent="0.4">
      <c r="A32" s="4">
        <v>31</v>
      </c>
      <c r="B32">
        <v>2.1103982925414999</v>
      </c>
      <c r="C32" s="1">
        <v>1.75</v>
      </c>
      <c r="D32">
        <f>ABS(B32-C32)</f>
        <v>0.36039829254149991</v>
      </c>
      <c r="M32" s="7"/>
      <c r="N32" s="5"/>
    </row>
    <row r="33" spans="1:14" x14ac:dyDescent="0.4">
      <c r="A33" s="4">
        <v>32</v>
      </c>
      <c r="B33">
        <v>2.10806012153625</v>
      </c>
      <c r="C33" s="1">
        <v>1.75</v>
      </c>
      <c r="D33">
        <f>ABS(B33-C33)</f>
        <v>0.35806012153625</v>
      </c>
      <c r="N33" s="5"/>
    </row>
    <row r="34" spans="1:14" x14ac:dyDescent="0.4">
      <c r="A34" s="4">
        <v>33</v>
      </c>
      <c r="B34">
        <v>2.15712571144104</v>
      </c>
      <c r="C34" s="1">
        <v>1.75</v>
      </c>
      <c r="D34">
        <f>ABS(B34-C34)</f>
        <v>0.40712571144104004</v>
      </c>
      <c r="M34" s="7"/>
      <c r="N34" s="5"/>
    </row>
    <row r="35" spans="1:14" x14ac:dyDescent="0.4">
      <c r="A35" s="4">
        <v>34</v>
      </c>
      <c r="B35">
        <v>3.1213238239288299</v>
      </c>
      <c r="C35" s="1">
        <v>2.75</v>
      </c>
      <c r="D35">
        <f>ABS(B35-C35)</f>
        <v>0.3713238239288299</v>
      </c>
      <c r="M35" s="7"/>
      <c r="N35" s="5"/>
    </row>
    <row r="36" spans="1:14" x14ac:dyDescent="0.4">
      <c r="A36" s="4">
        <v>35</v>
      </c>
      <c r="B36">
        <v>3.0900590419769198</v>
      </c>
      <c r="C36" s="1">
        <v>2.75</v>
      </c>
      <c r="D36">
        <f>ABS(B36-C36)</f>
        <v>0.34005904197691983</v>
      </c>
      <c r="M36" s="7"/>
      <c r="N36" s="5"/>
    </row>
    <row r="37" spans="1:14" x14ac:dyDescent="0.4">
      <c r="A37" s="4">
        <v>36</v>
      </c>
      <c r="B37">
        <v>3.0974164009094198</v>
      </c>
      <c r="C37" s="1">
        <v>2.75</v>
      </c>
      <c r="D37">
        <f>ABS(B37-C37)</f>
        <v>0.34741640090941983</v>
      </c>
    </row>
    <row r="38" spans="1:14" x14ac:dyDescent="0.4">
      <c r="A38" s="4">
        <v>37</v>
      </c>
      <c r="B38">
        <v>4.2269024848937899</v>
      </c>
      <c r="C38" s="1">
        <v>3.75</v>
      </c>
      <c r="D38">
        <f>ABS(B38-C38)</f>
        <v>0.47690248489378995</v>
      </c>
    </row>
    <row r="39" spans="1:14" x14ac:dyDescent="0.4">
      <c r="A39" s="4">
        <v>38</v>
      </c>
      <c r="B39">
        <v>4.1212987899780202</v>
      </c>
      <c r="C39" s="1">
        <v>3.75</v>
      </c>
      <c r="D39">
        <f>ABS(B39-C39)</f>
        <v>0.37129878997802024</v>
      </c>
    </row>
    <row r="40" spans="1:14" x14ac:dyDescent="0.4">
      <c r="A40" s="4">
        <v>39</v>
      </c>
      <c r="B40">
        <v>4.1046452522277797</v>
      </c>
      <c r="C40" s="1">
        <v>3.75</v>
      </c>
      <c r="D40">
        <f>ABS(B40-C40)</f>
        <v>0.35464525222777965</v>
      </c>
    </row>
    <row r="41" spans="1:14" x14ac:dyDescent="0.4">
      <c r="A41" s="4">
        <v>40</v>
      </c>
      <c r="B41" s="7">
        <v>4.8751792907714799</v>
      </c>
      <c r="C41" s="1">
        <v>4.75</v>
      </c>
      <c r="D41">
        <f>ABS(B41-C41)</f>
        <v>0.12517929077147993</v>
      </c>
    </row>
    <row r="42" spans="1:14" x14ac:dyDescent="0.4">
      <c r="A42" s="4">
        <v>41</v>
      </c>
      <c r="B42" s="7">
        <v>4.8828005790710396</v>
      </c>
      <c r="C42" s="1">
        <v>4.75</v>
      </c>
      <c r="D42">
        <f>ABS(B42-C42)</f>
        <v>0.13280057907103959</v>
      </c>
    </row>
    <row r="43" spans="1:14" x14ac:dyDescent="0.4">
      <c r="A43" s="4">
        <v>42</v>
      </c>
      <c r="B43" s="7">
        <v>4.7849211692809996</v>
      </c>
      <c r="C43" s="1">
        <v>4.75</v>
      </c>
      <c r="D43">
        <f>ABS(B43-C43)</f>
        <v>3.4921169280999642E-2</v>
      </c>
    </row>
    <row r="44" spans="1:14" x14ac:dyDescent="0.4">
      <c r="A44" s="4">
        <v>43</v>
      </c>
      <c r="B44" s="7">
        <v>5.62579250335693</v>
      </c>
      <c r="C44" s="1">
        <v>5.75</v>
      </c>
      <c r="D44">
        <f>ABS(B44-C44)</f>
        <v>0.12420749664306996</v>
      </c>
    </row>
    <row r="45" spans="1:14" x14ac:dyDescent="0.4">
      <c r="A45" s="4">
        <v>44</v>
      </c>
      <c r="B45" s="7">
        <v>5.5969791412353498</v>
      </c>
      <c r="C45" s="1">
        <v>5.75</v>
      </c>
      <c r="D45">
        <f>ABS(B45-C45)</f>
        <v>0.15302085876465021</v>
      </c>
    </row>
    <row r="46" spans="1:14" x14ac:dyDescent="0.4">
      <c r="A46" s="4">
        <v>45</v>
      </c>
      <c r="B46" s="7">
        <v>5.5500822067260698</v>
      </c>
      <c r="C46" s="1">
        <v>5.75</v>
      </c>
      <c r="D46">
        <f>ABS(B46-C46)</f>
        <v>0.19991779327393022</v>
      </c>
    </row>
    <row r="47" spans="1:14" x14ac:dyDescent="0.4">
      <c r="A47" s="4">
        <v>46</v>
      </c>
      <c r="B47" s="7">
        <v>1.9391390085220299</v>
      </c>
      <c r="C47" s="1">
        <v>1.2</v>
      </c>
      <c r="D47">
        <f>ABS(B47-C47)</f>
        <v>0.73913900852202996</v>
      </c>
    </row>
    <row r="48" spans="1:14" x14ac:dyDescent="0.4">
      <c r="A48" s="4">
        <v>47</v>
      </c>
      <c r="B48" s="7">
        <v>1.85440921783447</v>
      </c>
      <c r="C48" s="1">
        <v>1.2</v>
      </c>
      <c r="D48">
        <f>ABS(B48-C48)</f>
        <v>0.65440921783447004</v>
      </c>
    </row>
    <row r="49" spans="1:4" x14ac:dyDescent="0.4">
      <c r="A49" s="4">
        <v>48</v>
      </c>
      <c r="B49" s="7">
        <v>1.87975573539733</v>
      </c>
      <c r="C49" s="1">
        <v>1.2</v>
      </c>
      <c r="D49">
        <f>ABS(B49-C49)</f>
        <v>0.67975573539733003</v>
      </c>
    </row>
    <row r="50" spans="1:4" x14ac:dyDescent="0.4">
      <c r="A50" s="4">
        <v>49</v>
      </c>
      <c r="B50" s="7">
        <v>2.5355761051177899</v>
      </c>
      <c r="C50" s="1">
        <v>2.15</v>
      </c>
      <c r="D50">
        <f>ABS(B50-C50)</f>
        <v>0.38557610511778995</v>
      </c>
    </row>
    <row r="51" spans="1:4" x14ac:dyDescent="0.4">
      <c r="A51" s="4">
        <v>50</v>
      </c>
      <c r="B51" s="7">
        <v>2.42914867401123</v>
      </c>
      <c r="C51" s="1">
        <v>2.15</v>
      </c>
      <c r="D51">
        <f>ABS(B51-C51)</f>
        <v>0.27914867401123011</v>
      </c>
    </row>
    <row r="52" spans="1:4" x14ac:dyDescent="0.4">
      <c r="A52" s="4">
        <v>51</v>
      </c>
      <c r="B52" s="7">
        <v>2.4068582057952801</v>
      </c>
      <c r="C52" s="1">
        <v>2.15</v>
      </c>
      <c r="D52">
        <f>ABS(B52-C52)</f>
        <v>0.25685820579528018</v>
      </c>
    </row>
    <row r="53" spans="1:4" x14ac:dyDescent="0.4">
      <c r="A53" s="4">
        <v>52</v>
      </c>
      <c r="B53" s="7">
        <v>3.4632210731506299</v>
      </c>
      <c r="C53" s="1">
        <v>3.15</v>
      </c>
      <c r="D53">
        <f>ABS(B53-C53)</f>
        <v>0.31322107315062997</v>
      </c>
    </row>
    <row r="54" spans="1:4" x14ac:dyDescent="0.4">
      <c r="A54" s="4">
        <v>53</v>
      </c>
      <c r="B54" s="7">
        <v>3.3874332904815598</v>
      </c>
      <c r="C54" s="1">
        <v>3.15</v>
      </c>
      <c r="D54">
        <f>ABS(B54-C54)</f>
        <v>0.23743329048155992</v>
      </c>
    </row>
    <row r="55" spans="1:4" x14ac:dyDescent="0.4">
      <c r="A55" s="4">
        <v>54</v>
      </c>
      <c r="B55" s="7">
        <v>3.4857947826385498</v>
      </c>
      <c r="C55" s="1">
        <v>3.15</v>
      </c>
      <c r="D55">
        <f>ABS(B55-C55)</f>
        <v>0.33579478263854989</v>
      </c>
    </row>
    <row r="56" spans="1:4" x14ac:dyDescent="0.4">
      <c r="A56" s="4">
        <v>55</v>
      </c>
      <c r="B56" s="7">
        <v>4.8067436218261701</v>
      </c>
      <c r="C56" s="1">
        <v>4.1500000000000004</v>
      </c>
      <c r="D56">
        <f>ABS(B56-C56)</f>
        <v>0.65674362182616974</v>
      </c>
    </row>
    <row r="57" spans="1:4" x14ac:dyDescent="0.4">
      <c r="A57" s="4">
        <v>56</v>
      </c>
      <c r="B57" s="7">
        <v>4.7209410667419398</v>
      </c>
      <c r="C57" s="1">
        <v>4.1500000000000004</v>
      </c>
      <c r="D57">
        <f>ABS(B57-C57)</f>
        <v>0.57094106674193945</v>
      </c>
    </row>
    <row r="58" spans="1:4" x14ac:dyDescent="0.4">
      <c r="A58" s="4">
        <v>57</v>
      </c>
      <c r="B58" s="7">
        <v>4.7033047676086399</v>
      </c>
      <c r="C58" s="1">
        <v>4.1500000000000004</v>
      </c>
      <c r="D58">
        <f>ABS(B58-C58)</f>
        <v>0.55330476760863956</v>
      </c>
    </row>
    <row r="59" spans="1:4" x14ac:dyDescent="0.4">
      <c r="A59" s="4">
        <v>58</v>
      </c>
      <c r="B59" s="7">
        <v>5.3131427764892498</v>
      </c>
      <c r="C59" s="1">
        <v>5.15</v>
      </c>
      <c r="D59">
        <f>ABS(B59-C59)</f>
        <v>0.16314277648924946</v>
      </c>
    </row>
    <row r="60" spans="1:4" x14ac:dyDescent="0.4">
      <c r="A60" s="4">
        <v>59</v>
      </c>
      <c r="B60" s="7">
        <v>5.3199405670165998</v>
      </c>
      <c r="C60" s="1">
        <v>5.15</v>
      </c>
      <c r="D60">
        <f>ABS(B60-C60)</f>
        <v>0.16994056701659943</v>
      </c>
    </row>
    <row r="61" spans="1:4" x14ac:dyDescent="0.4">
      <c r="A61" s="4">
        <v>60</v>
      </c>
      <c r="B61" s="7">
        <v>5.3776278495788503</v>
      </c>
      <c r="C61" s="1">
        <v>5.15</v>
      </c>
      <c r="D61">
        <f>ABS(B61-C61)</f>
        <v>0.22762784957884996</v>
      </c>
    </row>
    <row r="62" spans="1:4" x14ac:dyDescent="0.4">
      <c r="A62" s="4">
        <v>61</v>
      </c>
      <c r="B62" s="7">
        <v>2.26404809951782</v>
      </c>
      <c r="C62" s="1">
        <v>2.2999999999999998</v>
      </c>
      <c r="D62">
        <f>ABS(B62-C62)</f>
        <v>3.5951900482179777E-2</v>
      </c>
    </row>
    <row r="63" spans="1:4" x14ac:dyDescent="0.4">
      <c r="A63" s="4">
        <v>62</v>
      </c>
      <c r="B63" s="7">
        <v>2.2179765701293901</v>
      </c>
      <c r="C63" s="1">
        <v>2.2999999999999998</v>
      </c>
      <c r="D63">
        <f>ABS(B63-C63)</f>
        <v>8.2023429870609732E-2</v>
      </c>
    </row>
    <row r="64" spans="1:4" x14ac:dyDescent="0.4">
      <c r="A64" s="4">
        <v>63</v>
      </c>
      <c r="B64" s="7">
        <v>2.19493436813354</v>
      </c>
      <c r="C64" s="1">
        <v>2.2999999999999998</v>
      </c>
      <c r="D64">
        <f>ABS(B64-C64)</f>
        <v>0.10506563186645979</v>
      </c>
    </row>
    <row r="65" spans="1:4" x14ac:dyDescent="0.4">
      <c r="A65" s="4">
        <v>64</v>
      </c>
      <c r="B65">
        <v>2.9048776626586901</v>
      </c>
      <c r="C65" s="1">
        <v>3</v>
      </c>
      <c r="D65">
        <f>ABS(B65-C65)</f>
        <v>9.5122337341309926E-2</v>
      </c>
    </row>
    <row r="66" spans="1:4" x14ac:dyDescent="0.4">
      <c r="A66" s="4">
        <v>65</v>
      </c>
      <c r="B66" s="7">
        <v>2.8592581748962398</v>
      </c>
      <c r="C66" s="1">
        <v>3</v>
      </c>
      <c r="D66">
        <f>ABS(B66-C66)</f>
        <v>0.14074182510376021</v>
      </c>
    </row>
    <row r="67" spans="1:4" x14ac:dyDescent="0.4">
      <c r="A67" s="4">
        <v>66</v>
      </c>
      <c r="B67" s="7">
        <v>2.95439577102661</v>
      </c>
      <c r="C67" s="1">
        <v>3</v>
      </c>
      <c r="D67">
        <f>ABS(B67-C67)</f>
        <v>4.5604228973390004E-2</v>
      </c>
    </row>
    <row r="68" spans="1:4" x14ac:dyDescent="0.4">
      <c r="A68" s="4">
        <v>67</v>
      </c>
      <c r="B68">
        <v>3.5464942455291699</v>
      </c>
      <c r="C68" s="1">
        <v>3.7</v>
      </c>
      <c r="D68">
        <f>ABS(B68-C68)</f>
        <v>0.15350575447083026</v>
      </c>
    </row>
    <row r="69" spans="1:4" x14ac:dyDescent="0.4">
      <c r="A69" s="4">
        <v>68</v>
      </c>
      <c r="B69">
        <v>3.63097691535949</v>
      </c>
      <c r="C69" s="1">
        <v>3.7</v>
      </c>
      <c r="D69">
        <f>ABS(B69-C69)</f>
        <v>6.9023084640510213E-2</v>
      </c>
    </row>
    <row r="70" spans="1:4" x14ac:dyDescent="0.4">
      <c r="A70" s="4">
        <v>69</v>
      </c>
      <c r="B70">
        <v>3.5955348014831499</v>
      </c>
      <c r="C70" s="1">
        <v>3.7</v>
      </c>
      <c r="D70">
        <f>ABS(B70-C70)</f>
        <v>0.10446519851685032</v>
      </c>
    </row>
    <row r="71" spans="1:4" x14ac:dyDescent="0.4">
      <c r="A71" s="4">
        <v>70</v>
      </c>
      <c r="B71">
        <v>4.4276156425476003</v>
      </c>
      <c r="C71" s="1">
        <v>4.4000000000000004</v>
      </c>
      <c r="D71">
        <f>ABS(B71-C71)</f>
        <v>2.7615642547599961E-2</v>
      </c>
    </row>
    <row r="72" spans="1:4" x14ac:dyDescent="0.4">
      <c r="A72" s="4">
        <v>71</v>
      </c>
      <c r="B72">
        <v>4.5168356895446697</v>
      </c>
      <c r="C72" s="1">
        <v>4.4000000000000004</v>
      </c>
      <c r="D72">
        <f>ABS(B72-C72)</f>
        <v>0.11683568954466939</v>
      </c>
    </row>
    <row r="73" spans="1:4" x14ac:dyDescent="0.4">
      <c r="A73" s="4">
        <v>72</v>
      </c>
      <c r="B73">
        <v>4.4495110511779696</v>
      </c>
      <c r="C73" s="1">
        <v>4.4000000000000004</v>
      </c>
      <c r="D73">
        <f>ABS(B73-C73)</f>
        <v>4.9511051177969279E-2</v>
      </c>
    </row>
    <row r="74" spans="1:4" x14ac:dyDescent="0.4">
      <c r="A74" s="4">
        <v>73</v>
      </c>
      <c r="B74">
        <v>4.6788606643676696</v>
      </c>
      <c r="C74" s="1">
        <v>5.0999999999999996</v>
      </c>
      <c r="D74">
        <f>ABS(B74-C74)</f>
        <v>0.42113933563233008</v>
      </c>
    </row>
    <row r="75" spans="1:4" x14ac:dyDescent="0.4">
      <c r="A75" s="4">
        <v>74</v>
      </c>
      <c r="B75">
        <v>4.7416586875915501</v>
      </c>
      <c r="C75" s="1">
        <v>5.0999999999999996</v>
      </c>
      <c r="D75">
        <f>ABS(B75-C75)</f>
        <v>0.35834131240844957</v>
      </c>
    </row>
    <row r="76" spans="1:4" x14ac:dyDescent="0.4">
      <c r="A76" s="4">
        <v>75</v>
      </c>
      <c r="B76">
        <v>4.6699624061584402</v>
      </c>
      <c r="C76" s="1">
        <v>5.0999999999999996</v>
      </c>
      <c r="D76">
        <f>ABS(B76-C76)</f>
        <v>0.43003759384155948</v>
      </c>
    </row>
    <row r="77" spans="1:4" x14ac:dyDescent="0.4">
      <c r="A77" s="4">
        <v>76</v>
      </c>
      <c r="B77">
        <v>2.4073176383972101</v>
      </c>
      <c r="C77" s="1">
        <v>2.2999999999999998</v>
      </c>
      <c r="D77">
        <f>ABS(B77-C77)</f>
        <v>0.10731763839721031</v>
      </c>
    </row>
    <row r="78" spans="1:4" x14ac:dyDescent="0.4">
      <c r="A78" s="4">
        <v>77</v>
      </c>
      <c r="B78">
        <v>2.41429090499877</v>
      </c>
      <c r="C78" s="1">
        <v>2.2999999999999998</v>
      </c>
      <c r="D78">
        <f>ABS(B78-C78)</f>
        <v>0.11429090499877015</v>
      </c>
    </row>
    <row r="79" spans="1:4" x14ac:dyDescent="0.4">
      <c r="A79" s="4">
        <v>78</v>
      </c>
      <c r="B79">
        <v>2.4064252376556299</v>
      </c>
      <c r="C79" s="1">
        <v>2.2999999999999998</v>
      </c>
      <c r="D79">
        <f>ABS(B79-C79)</f>
        <v>0.10642523765563006</v>
      </c>
    </row>
    <row r="80" spans="1:4" x14ac:dyDescent="0.4">
      <c r="A80" s="4">
        <v>79</v>
      </c>
      <c r="B80">
        <v>3.3872315883636399</v>
      </c>
      <c r="C80" s="1">
        <v>3</v>
      </c>
      <c r="D80">
        <f>ABS(B80-C80)</f>
        <v>0.38723158836363991</v>
      </c>
    </row>
    <row r="81" spans="1:4" x14ac:dyDescent="0.4">
      <c r="A81" s="4">
        <v>80</v>
      </c>
      <c r="B81">
        <v>3.4091479778289702</v>
      </c>
      <c r="C81" s="1">
        <v>3</v>
      </c>
      <c r="D81">
        <f>ABS(B81-C81)</f>
        <v>0.40914797782897017</v>
      </c>
    </row>
    <row r="82" spans="1:4" x14ac:dyDescent="0.4">
      <c r="A82" s="4">
        <v>81</v>
      </c>
      <c r="B82">
        <v>3.3852126598358101</v>
      </c>
      <c r="C82" s="1">
        <v>3</v>
      </c>
      <c r="D82">
        <f>ABS(B82-C82)</f>
        <v>0.3852126598358101</v>
      </c>
    </row>
    <row r="83" spans="1:4" x14ac:dyDescent="0.4">
      <c r="A83" s="4">
        <v>82</v>
      </c>
      <c r="B83">
        <v>3.8658645153045601</v>
      </c>
      <c r="C83" s="1">
        <v>3.7</v>
      </c>
      <c r="D83">
        <f>ABS(B83-C83)</f>
        <v>0.16586451530455992</v>
      </c>
    </row>
    <row r="84" spans="1:4" x14ac:dyDescent="0.4">
      <c r="A84" s="4">
        <v>83</v>
      </c>
      <c r="B84">
        <v>3.8958258628845202</v>
      </c>
      <c r="C84" s="1">
        <v>3.7</v>
      </c>
      <c r="D84">
        <f>ABS(B84-C84)</f>
        <v>0.19582586288451997</v>
      </c>
    </row>
    <row r="85" spans="1:4" x14ac:dyDescent="0.4">
      <c r="A85" s="4">
        <v>84</v>
      </c>
      <c r="B85">
        <v>3.9408640861511199</v>
      </c>
      <c r="C85" s="1">
        <v>3.7</v>
      </c>
      <c r="D85">
        <f>ABS(B85-C85)</f>
        <v>0.24086408615111976</v>
      </c>
    </row>
    <row r="86" spans="1:4" x14ac:dyDescent="0.4">
      <c r="A86" s="4">
        <v>85</v>
      </c>
      <c r="B86">
        <v>4.0942153930664</v>
      </c>
      <c r="C86" s="1">
        <v>4.4000000000000004</v>
      </c>
      <c r="D86">
        <f>ABS(B86-C86)</f>
        <v>0.30578460693360032</v>
      </c>
    </row>
    <row r="87" spans="1:4" x14ac:dyDescent="0.4">
      <c r="A87" s="4">
        <v>86</v>
      </c>
      <c r="B87">
        <v>4.3341321945190403</v>
      </c>
      <c r="C87" s="1">
        <v>4.4000000000000004</v>
      </c>
      <c r="D87">
        <f>ABS(B87-C87)</f>
        <v>6.5867805480960051E-2</v>
      </c>
    </row>
    <row r="88" spans="1:4" x14ac:dyDescent="0.4">
      <c r="A88" s="4">
        <v>87</v>
      </c>
      <c r="B88">
        <v>4.2050151824951101</v>
      </c>
      <c r="C88" s="1">
        <v>4.4000000000000004</v>
      </c>
      <c r="D88">
        <f>ABS(B88-C88)</f>
        <v>0.19498481750489027</v>
      </c>
    </row>
    <row r="89" spans="1:4" x14ac:dyDescent="0.4">
      <c r="A89" s="4">
        <v>88</v>
      </c>
      <c r="B89">
        <v>4.2624406814575098</v>
      </c>
      <c r="C89" s="1">
        <v>5.0999999999999996</v>
      </c>
      <c r="D89">
        <f>ABS(B89-C89)</f>
        <v>0.83755931854248988</v>
      </c>
    </row>
    <row r="90" spans="1:4" x14ac:dyDescent="0.4">
      <c r="A90" s="4">
        <v>89</v>
      </c>
      <c r="B90">
        <v>4.3826885223388601</v>
      </c>
      <c r="C90" s="1">
        <v>5.0999999999999996</v>
      </c>
      <c r="D90">
        <f>ABS(B90-C90)</f>
        <v>0.71731147766113956</v>
      </c>
    </row>
    <row r="91" spans="1:4" x14ac:dyDescent="0.4">
      <c r="A91" s="4">
        <v>90</v>
      </c>
      <c r="B91">
        <v>4.2069025039672798</v>
      </c>
      <c r="C91" s="1">
        <v>5.0999999999999996</v>
      </c>
      <c r="D91">
        <f>ABS(B91-C91)</f>
        <v>0.89309749603271982</v>
      </c>
    </row>
    <row r="92" spans="1:4" x14ac:dyDescent="0.4">
      <c r="A92" s="4">
        <v>91</v>
      </c>
      <c r="B92">
        <v>1.94818592071533</v>
      </c>
      <c r="C92" s="1">
        <v>1.75</v>
      </c>
      <c r="D92">
        <f>ABS(B92-C92)</f>
        <v>0.19818592071533003</v>
      </c>
    </row>
    <row r="93" spans="1:4" x14ac:dyDescent="0.4">
      <c r="A93" s="4">
        <v>92</v>
      </c>
      <c r="B93">
        <v>1.95534563064575</v>
      </c>
      <c r="C93" s="1">
        <v>1.75</v>
      </c>
      <c r="D93">
        <f>ABS(B93-C93)</f>
        <v>0.20534563064574995</v>
      </c>
    </row>
    <row r="94" spans="1:4" x14ac:dyDescent="0.4">
      <c r="A94" s="4">
        <v>93</v>
      </c>
      <c r="B94">
        <v>1.96726894378662</v>
      </c>
      <c r="C94" s="1">
        <v>1.75</v>
      </c>
      <c r="D94">
        <f>ABS(B94-C94)</f>
        <v>0.21726894378661998</v>
      </c>
    </row>
    <row r="95" spans="1:4" x14ac:dyDescent="0.4">
      <c r="A95" s="4">
        <v>94</v>
      </c>
      <c r="B95">
        <v>3.1728494167327801</v>
      </c>
      <c r="C95" s="1">
        <v>2.75</v>
      </c>
      <c r="D95">
        <f>ABS(B95-C95)</f>
        <v>0.42284941673278009</v>
      </c>
    </row>
    <row r="96" spans="1:4" x14ac:dyDescent="0.4">
      <c r="A96" s="4">
        <v>95</v>
      </c>
      <c r="B96">
        <v>2.9683444499969398</v>
      </c>
      <c r="C96" s="1">
        <v>2.75</v>
      </c>
      <c r="D96">
        <f>ABS(B96-C96)</f>
        <v>0.2183444499969398</v>
      </c>
    </row>
    <row r="97" spans="1:5" x14ac:dyDescent="0.4">
      <c r="A97" s="4">
        <v>96</v>
      </c>
      <c r="B97">
        <v>3.2227976322174001</v>
      </c>
      <c r="C97" s="1">
        <v>2.75</v>
      </c>
      <c r="D97">
        <f>ABS(B97-C97)</f>
        <v>0.47279763221740012</v>
      </c>
    </row>
    <row r="98" spans="1:5" x14ac:dyDescent="0.4">
      <c r="A98" s="4">
        <v>97</v>
      </c>
      <c r="B98">
        <v>3.4963955879211399</v>
      </c>
      <c r="C98" s="1">
        <v>3.75</v>
      </c>
      <c r="D98">
        <f>ABS(B98-C98)</f>
        <v>0.25360441207886009</v>
      </c>
    </row>
    <row r="99" spans="1:5" x14ac:dyDescent="0.4">
      <c r="A99" s="4">
        <v>98</v>
      </c>
      <c r="B99">
        <v>3.6223585605621298</v>
      </c>
      <c r="C99" s="1">
        <v>3.75</v>
      </c>
      <c r="D99">
        <f>ABS(B99-C99)</f>
        <v>0.12764143943787021</v>
      </c>
    </row>
    <row r="100" spans="1:5" x14ac:dyDescent="0.4">
      <c r="A100" s="4">
        <v>99</v>
      </c>
      <c r="B100">
        <v>3.53785967826843</v>
      </c>
      <c r="C100" s="1">
        <v>3.75</v>
      </c>
      <c r="D100">
        <f>ABS(B100-C100)</f>
        <v>0.21214032173157005</v>
      </c>
    </row>
    <row r="101" spans="1:5" x14ac:dyDescent="0.4">
      <c r="A101" s="4">
        <v>100</v>
      </c>
      <c r="B101">
        <v>4.4579572677612296</v>
      </c>
      <c r="C101" s="1">
        <v>4.75</v>
      </c>
      <c r="D101">
        <f>ABS(B101-C101)</f>
        <v>0.29204273223877042</v>
      </c>
    </row>
    <row r="102" spans="1:5" x14ac:dyDescent="0.4">
      <c r="A102" s="4">
        <v>101</v>
      </c>
      <c r="B102">
        <v>4.4007411003112704</v>
      </c>
      <c r="C102" s="1">
        <v>4.75</v>
      </c>
      <c r="D102">
        <f>ABS(B102-C102)</f>
        <v>0.34925889968872958</v>
      </c>
    </row>
    <row r="103" spans="1:5" x14ac:dyDescent="0.4">
      <c r="A103" s="4">
        <v>102</v>
      </c>
      <c r="B103">
        <v>4.5884885787963796</v>
      </c>
      <c r="C103" s="1">
        <v>4.75</v>
      </c>
      <c r="D103">
        <f>ABS(B103-C103)</f>
        <v>0.16151142120362039</v>
      </c>
    </row>
    <row r="104" spans="1:5" x14ac:dyDescent="0.4">
      <c r="A104" s="4">
        <v>103</v>
      </c>
      <c r="B104">
        <v>5.5070719718933097</v>
      </c>
      <c r="C104" s="1">
        <v>5.75</v>
      </c>
      <c r="D104">
        <f>ABS(B104-C104)</f>
        <v>0.24292802810669034</v>
      </c>
    </row>
    <row r="105" spans="1:5" x14ac:dyDescent="0.4">
      <c r="A105" s="4">
        <v>104</v>
      </c>
      <c r="B105">
        <v>5.4872899055480904</v>
      </c>
      <c r="C105" s="1">
        <v>5.75</v>
      </c>
      <c r="D105">
        <f>ABS(B105-C105)</f>
        <v>0.26271009445190963</v>
      </c>
    </row>
    <row r="106" spans="1:5" x14ac:dyDescent="0.4">
      <c r="A106" s="4">
        <v>105</v>
      </c>
      <c r="B106">
        <v>5.5949330329895002</v>
      </c>
      <c r="C106" s="1">
        <v>5.75</v>
      </c>
      <c r="D106">
        <f>ABS(B106-C106)</f>
        <v>0.15506696701049982</v>
      </c>
    </row>
    <row r="107" spans="1:5" x14ac:dyDescent="0.4">
      <c r="A107" s="4">
        <v>106</v>
      </c>
      <c r="B107">
        <v>1.2074166536331099</v>
      </c>
      <c r="C107" s="1">
        <v>1.2</v>
      </c>
      <c r="D107">
        <f>ABS(B107-C107)</f>
        <v>7.4166536331099486E-3</v>
      </c>
      <c r="E107">
        <f>AVERAGE(D$107:D$121)</f>
        <v>0.46757400830587276</v>
      </c>
    </row>
    <row r="108" spans="1:5" x14ac:dyDescent="0.4">
      <c r="A108" s="4">
        <v>107</v>
      </c>
      <c r="B108" s="7">
        <v>1.15192747116088</v>
      </c>
      <c r="C108" s="1">
        <v>1.2</v>
      </c>
      <c r="D108">
        <f>ABS(B108-C108)</f>
        <v>4.8072528839119943E-2</v>
      </c>
      <c r="E108">
        <f>AVERAGE(D$122:D$136)</f>
        <v>0.13535469055175722</v>
      </c>
    </row>
    <row r="109" spans="1:5" x14ac:dyDescent="0.4">
      <c r="A109" s="4">
        <v>108</v>
      </c>
      <c r="B109" s="7">
        <v>1.1761715412139799</v>
      </c>
      <c r="C109" s="1">
        <v>1.2</v>
      </c>
      <c r="D109">
        <f>ABS(B109-C109)</f>
        <v>2.3828458786020024E-2</v>
      </c>
      <c r="E109">
        <f>AVERAGE(D$137:D$151)</f>
        <v>0.36923868020375517</v>
      </c>
    </row>
    <row r="110" spans="1:5" x14ac:dyDescent="0.4">
      <c r="A110" s="4">
        <v>109</v>
      </c>
      <c r="B110" s="7">
        <v>1.2842712402343699</v>
      </c>
      <c r="C110" s="1">
        <v>2.15</v>
      </c>
      <c r="D110">
        <f>ABS(B110-C110)</f>
        <v>0.86572875976563002</v>
      </c>
      <c r="E110">
        <f>AVERAGE(D$152:D$166)</f>
        <v>0.69147228876749867</v>
      </c>
    </row>
    <row r="111" spans="1:5" x14ac:dyDescent="0.4">
      <c r="A111" s="4">
        <v>110</v>
      </c>
      <c r="B111">
        <v>1.1752245426177901</v>
      </c>
      <c r="C111" s="1">
        <v>2.15</v>
      </c>
      <c r="D111">
        <f>ABS(B111-C111)</f>
        <v>0.97477545738220983</v>
      </c>
    </row>
    <row r="112" spans="1:5" x14ac:dyDescent="0.4">
      <c r="A112" s="4">
        <v>111</v>
      </c>
      <c r="B112">
        <v>1.2430342435836701</v>
      </c>
      <c r="C112" s="1">
        <v>2.15</v>
      </c>
      <c r="D112">
        <f>ABS(B112-C112)</f>
        <v>0.90696575641632982</v>
      </c>
    </row>
    <row r="113" spans="1:4" x14ac:dyDescent="0.4">
      <c r="A113" s="4">
        <v>112</v>
      </c>
      <c r="B113">
        <v>2.0632355213165199</v>
      </c>
      <c r="C113" s="1">
        <v>3.15</v>
      </c>
      <c r="D113">
        <f>ABS(B113-C113)</f>
        <v>1.08676447868348</v>
      </c>
    </row>
    <row r="114" spans="1:4" x14ac:dyDescent="0.4">
      <c r="A114" s="4">
        <v>113</v>
      </c>
      <c r="B114">
        <v>2.2754569053649898</v>
      </c>
      <c r="C114" s="1">
        <v>3.15</v>
      </c>
      <c r="D114">
        <f>ABS(B114-C114)</f>
        <v>0.87454309463501012</v>
      </c>
    </row>
    <row r="115" spans="1:4" x14ac:dyDescent="0.4">
      <c r="A115" s="4">
        <v>114</v>
      </c>
      <c r="B115">
        <v>2.2189154624938898</v>
      </c>
      <c r="C115" s="1">
        <v>3.15</v>
      </c>
      <c r="D115">
        <f>ABS(B115-C115)</f>
        <v>0.93108453750611009</v>
      </c>
    </row>
    <row r="116" spans="1:4" x14ac:dyDescent="0.4">
      <c r="A116" s="4">
        <v>115</v>
      </c>
      <c r="B116">
        <v>3.9265542030334402</v>
      </c>
      <c r="C116" s="1">
        <v>4.1500000000000004</v>
      </c>
      <c r="D116">
        <f>ABS(B116-C116)</f>
        <v>0.2234457969665602</v>
      </c>
    </row>
    <row r="117" spans="1:4" x14ac:dyDescent="0.4">
      <c r="A117" s="4">
        <v>116</v>
      </c>
      <c r="B117">
        <v>3.7719929218292201</v>
      </c>
      <c r="C117" s="1">
        <v>4.1500000000000004</v>
      </c>
      <c r="D117">
        <f>ABS(B117-C117)</f>
        <v>0.37800707817078028</v>
      </c>
    </row>
    <row r="118" spans="1:4" x14ac:dyDescent="0.4">
      <c r="A118" s="4">
        <v>117</v>
      </c>
      <c r="B118">
        <v>3.9083800315856898</v>
      </c>
      <c r="C118" s="1">
        <v>4.1500000000000004</v>
      </c>
      <c r="D118">
        <f>ABS(B118-C118)</f>
        <v>0.24161996841431055</v>
      </c>
    </row>
    <row r="119" spans="1:4" x14ac:dyDescent="0.4">
      <c r="A119" s="4">
        <v>118</v>
      </c>
      <c r="B119">
        <v>5.0169210433959899</v>
      </c>
      <c r="C119" s="1">
        <v>5.15</v>
      </c>
      <c r="D119">
        <f>ABS(B119-C119)</f>
        <v>0.13307895660401048</v>
      </c>
    </row>
    <row r="120" spans="1:4" x14ac:dyDescent="0.4">
      <c r="A120" s="4">
        <v>119</v>
      </c>
      <c r="B120">
        <v>4.96707916259765</v>
      </c>
      <c r="C120" s="1">
        <v>5.15</v>
      </c>
      <c r="D120">
        <f>ABS(B120-C120)</f>
        <v>0.18292083740235032</v>
      </c>
    </row>
    <row r="121" spans="1:4" x14ac:dyDescent="0.4">
      <c r="A121" s="4">
        <v>120</v>
      </c>
      <c r="B121">
        <v>5.0146422386169398</v>
      </c>
      <c r="C121" s="1">
        <v>5.15</v>
      </c>
      <c r="D121">
        <f>ABS(B121-C121)</f>
        <v>0.13535776138306055</v>
      </c>
    </row>
    <row r="122" spans="1:4" x14ac:dyDescent="0.4">
      <c r="A122" s="4">
        <v>121</v>
      </c>
      <c r="B122">
        <v>2.35691237449646</v>
      </c>
      <c r="C122" s="1">
        <v>2.2999999999999998</v>
      </c>
      <c r="D122">
        <f>ABS(B122-C122)</f>
        <v>5.6912374496460139E-2</v>
      </c>
    </row>
    <row r="123" spans="1:4" x14ac:dyDescent="0.4">
      <c r="A123" s="4">
        <v>122</v>
      </c>
      <c r="B123">
        <v>2.3713138103485099</v>
      </c>
      <c r="C123" s="1">
        <v>2.2999999999999998</v>
      </c>
      <c r="D123">
        <f>ABS(B123-C123)</f>
        <v>7.1313810348510032E-2</v>
      </c>
    </row>
    <row r="124" spans="1:4" x14ac:dyDescent="0.4">
      <c r="A124" s="4">
        <v>123</v>
      </c>
      <c r="B124">
        <v>2.4313941001892001</v>
      </c>
      <c r="C124" s="1">
        <v>2.2999999999999998</v>
      </c>
      <c r="D124">
        <f>ABS(B124-C124)</f>
        <v>0.13139410018920028</v>
      </c>
    </row>
    <row r="125" spans="1:4" x14ac:dyDescent="0.4">
      <c r="A125" s="4">
        <v>124</v>
      </c>
      <c r="B125">
        <v>3.1070106029510498</v>
      </c>
      <c r="C125" s="1">
        <v>3</v>
      </c>
      <c r="D125">
        <f>ABS(B125-C125)</f>
        <v>0.1070106029510498</v>
      </c>
    </row>
    <row r="126" spans="1:4" x14ac:dyDescent="0.4">
      <c r="A126" s="4">
        <v>125</v>
      </c>
      <c r="B126">
        <v>3.13002109527587</v>
      </c>
      <c r="C126" s="1">
        <v>3</v>
      </c>
      <c r="D126">
        <f>ABS(B126-C126)</f>
        <v>0.13002109527587002</v>
      </c>
    </row>
    <row r="127" spans="1:4" x14ac:dyDescent="0.4">
      <c r="A127" s="4">
        <v>126</v>
      </c>
      <c r="B127">
        <v>3.1822154521942099</v>
      </c>
      <c r="C127" s="1">
        <v>3</v>
      </c>
      <c r="D127">
        <f>ABS(B127-C127)</f>
        <v>0.18221545219420987</v>
      </c>
    </row>
    <row r="128" spans="1:4" x14ac:dyDescent="0.4">
      <c r="A128" s="4">
        <v>127</v>
      </c>
      <c r="B128">
        <v>3.7791841030120801</v>
      </c>
      <c r="C128" s="1">
        <v>3.7</v>
      </c>
      <c r="D128">
        <f>ABS(B128-C128)</f>
        <v>7.9184103012079898E-2</v>
      </c>
    </row>
    <row r="129" spans="1:4" x14ac:dyDescent="0.4">
      <c r="A129" s="4">
        <v>128</v>
      </c>
      <c r="B129">
        <v>3.9158370494842498</v>
      </c>
      <c r="C129" s="1">
        <v>3.7</v>
      </c>
      <c r="D129">
        <f>ABS(B129-C129)</f>
        <v>0.21583704948424964</v>
      </c>
    </row>
    <row r="130" spans="1:4" x14ac:dyDescent="0.4">
      <c r="A130" s="4">
        <v>129</v>
      </c>
      <c r="B130">
        <v>3.75727319717407</v>
      </c>
      <c r="C130" s="1">
        <v>3.7</v>
      </c>
      <c r="D130">
        <f>ABS(B130-C130)</f>
        <v>5.7273197174069868E-2</v>
      </c>
    </row>
    <row r="131" spans="1:4" x14ac:dyDescent="0.4">
      <c r="A131" s="4">
        <v>130</v>
      </c>
      <c r="B131">
        <v>4.3118577003479004</v>
      </c>
      <c r="C131" s="1">
        <v>4.4000000000000004</v>
      </c>
      <c r="D131">
        <f>ABS(B131-C131)</f>
        <v>8.8142299652099965E-2</v>
      </c>
    </row>
    <row r="132" spans="1:4" x14ac:dyDescent="0.4">
      <c r="A132" s="4">
        <v>131</v>
      </c>
      <c r="B132">
        <v>4.4719467163085902</v>
      </c>
      <c r="C132" s="1">
        <v>4.4000000000000004</v>
      </c>
      <c r="D132">
        <f>ABS(B132-C132)</f>
        <v>7.1946716308589842E-2</v>
      </c>
    </row>
    <row r="133" spans="1:4" x14ac:dyDescent="0.4">
      <c r="A133" s="4">
        <v>132</v>
      </c>
      <c r="B133">
        <v>4.2913050651550204</v>
      </c>
      <c r="C133" s="1">
        <v>4.4000000000000004</v>
      </c>
      <c r="D133">
        <f>ABS(B133-C133)</f>
        <v>0.10869493484497994</v>
      </c>
    </row>
    <row r="134" spans="1:4" x14ac:dyDescent="0.4">
      <c r="A134" s="4">
        <v>133</v>
      </c>
      <c r="B134">
        <v>4.8281402587890598</v>
      </c>
      <c r="C134" s="1">
        <v>5.0999999999999996</v>
      </c>
      <c r="D134">
        <f>ABS(B134-C134)</f>
        <v>0.27185974121093981</v>
      </c>
    </row>
    <row r="135" spans="1:4" x14ac:dyDescent="0.4">
      <c r="A135" s="4">
        <v>134</v>
      </c>
      <c r="B135">
        <v>4.9001388549804599</v>
      </c>
      <c r="C135" s="1">
        <v>5.0999999999999996</v>
      </c>
      <c r="D135">
        <f>ABS(B135-C135)</f>
        <v>0.19986114501953978</v>
      </c>
    </row>
    <row r="136" spans="1:4" x14ac:dyDescent="0.4">
      <c r="A136" s="4">
        <v>135</v>
      </c>
      <c r="B136">
        <v>4.8413462638854901</v>
      </c>
      <c r="C136" s="1">
        <v>5.0999999999999996</v>
      </c>
      <c r="D136">
        <f>ABS(B136-C136)</f>
        <v>0.25865373611450959</v>
      </c>
    </row>
    <row r="137" spans="1:4" x14ac:dyDescent="0.4">
      <c r="A137" s="4">
        <v>136</v>
      </c>
      <c r="B137">
        <v>1.3860727548599201</v>
      </c>
      <c r="C137" s="1">
        <v>1.2</v>
      </c>
      <c r="D137">
        <f>ABS(B137-C137)</f>
        <v>0.18607275485992014</v>
      </c>
    </row>
    <row r="138" spans="1:4" x14ac:dyDescent="0.4">
      <c r="A138" s="4">
        <v>137</v>
      </c>
      <c r="B138">
        <v>1.49909484386444</v>
      </c>
      <c r="C138" s="1">
        <v>1.2</v>
      </c>
      <c r="D138">
        <f>ABS(B138-C138)</f>
        <v>0.29909484386444007</v>
      </c>
    </row>
    <row r="139" spans="1:4" x14ac:dyDescent="0.4">
      <c r="A139" s="4">
        <v>138</v>
      </c>
      <c r="B139">
        <v>1.3570961952209399</v>
      </c>
      <c r="C139" s="1">
        <v>1.2</v>
      </c>
      <c r="D139">
        <f>ABS(B139-C139)</f>
        <v>0.15709619522093998</v>
      </c>
    </row>
    <row r="140" spans="1:4" x14ac:dyDescent="0.4">
      <c r="A140" s="4">
        <v>139</v>
      </c>
      <c r="B140">
        <v>1.87133812904357</v>
      </c>
      <c r="C140" s="1">
        <v>2.15</v>
      </c>
      <c r="D140">
        <f>ABS(B140-C140)</f>
        <v>0.27866187095642991</v>
      </c>
    </row>
    <row r="141" spans="1:4" x14ac:dyDescent="0.4">
      <c r="A141" s="4">
        <v>140</v>
      </c>
      <c r="B141">
        <v>1.6802613735198899</v>
      </c>
      <c r="C141" s="1">
        <v>2.15</v>
      </c>
      <c r="D141">
        <f>ABS(B141-C141)</f>
        <v>0.46973862648011</v>
      </c>
    </row>
    <row r="142" spans="1:4" x14ac:dyDescent="0.4">
      <c r="A142" s="4">
        <v>141</v>
      </c>
      <c r="B142">
        <v>1.85369431972503</v>
      </c>
      <c r="C142" s="1">
        <v>2.15</v>
      </c>
      <c r="D142">
        <f>ABS(B142-C142)</f>
        <v>0.29630568027496995</v>
      </c>
    </row>
    <row r="143" spans="1:4" x14ac:dyDescent="0.4">
      <c r="A143" s="4">
        <v>142</v>
      </c>
      <c r="B143">
        <v>2.8110485076904199</v>
      </c>
      <c r="C143" s="1">
        <v>3.15</v>
      </c>
      <c r="D143">
        <f>ABS(B143-C143)</f>
        <v>0.33895149230957999</v>
      </c>
    </row>
    <row r="144" spans="1:4" x14ac:dyDescent="0.4">
      <c r="A144" s="4">
        <v>143</v>
      </c>
      <c r="B144">
        <v>2.7924339771270699</v>
      </c>
      <c r="C144" s="1">
        <v>3.15</v>
      </c>
      <c r="D144">
        <f>ABS(B144-C144)</f>
        <v>0.35756602287293004</v>
      </c>
    </row>
    <row r="145" spans="1:4" x14ac:dyDescent="0.4">
      <c r="A145" s="4">
        <v>144</v>
      </c>
      <c r="B145">
        <v>2.8532443046569802</v>
      </c>
      <c r="C145" s="1">
        <v>3.15</v>
      </c>
      <c r="D145">
        <f>ABS(B145-C145)</f>
        <v>0.29675569534301971</v>
      </c>
    </row>
    <row r="146" spans="1:4" x14ac:dyDescent="0.4">
      <c r="A146" s="4">
        <v>145</v>
      </c>
      <c r="B146">
        <v>4.4231891632079998</v>
      </c>
      <c r="C146" s="1">
        <v>4.1500000000000004</v>
      </c>
      <c r="D146">
        <f>ABS(B146-C146)</f>
        <v>0.27318916320799946</v>
      </c>
    </row>
    <row r="147" spans="1:4" x14ac:dyDescent="0.4">
      <c r="A147" s="4">
        <v>146</v>
      </c>
      <c r="B147">
        <v>4.6086006164550701</v>
      </c>
      <c r="C147" s="1">
        <v>4.1500000000000004</v>
      </c>
      <c r="D147">
        <f>ABS(B147-C147)</f>
        <v>0.45860061645506978</v>
      </c>
    </row>
    <row r="148" spans="1:4" x14ac:dyDescent="0.4">
      <c r="A148" s="4">
        <v>147</v>
      </c>
      <c r="B148">
        <v>4.53893566131591</v>
      </c>
      <c r="C148" s="1">
        <v>4.1500000000000004</v>
      </c>
      <c r="D148">
        <f>ABS(B148-C148)</f>
        <v>0.38893566131590962</v>
      </c>
    </row>
    <row r="149" spans="1:4" x14ac:dyDescent="0.4">
      <c r="A149" s="4">
        <v>148</v>
      </c>
      <c r="B149">
        <v>5.7099127769470197</v>
      </c>
      <c r="C149" s="1">
        <v>5.15</v>
      </c>
      <c r="D149">
        <f>ABS(B149-C149)</f>
        <v>0.55991277694701935</v>
      </c>
    </row>
    <row r="150" spans="1:4" x14ac:dyDescent="0.4">
      <c r="A150" s="4">
        <v>149</v>
      </c>
      <c r="B150">
        <v>5.74214363098144</v>
      </c>
      <c r="C150" s="1">
        <v>5.15</v>
      </c>
      <c r="D150">
        <f>ABS(B150-C150)</f>
        <v>0.59214363098143963</v>
      </c>
    </row>
    <row r="151" spans="1:4" x14ac:dyDescent="0.4">
      <c r="A151" s="4">
        <v>150</v>
      </c>
      <c r="B151">
        <v>5.7355551719665501</v>
      </c>
      <c r="C151" s="1">
        <v>5.15</v>
      </c>
      <c r="D151">
        <f>ABS(B151-C151)</f>
        <v>0.58555517196654971</v>
      </c>
    </row>
    <row r="152" spans="1:4" x14ac:dyDescent="0.4">
      <c r="A152" s="4">
        <v>151</v>
      </c>
      <c r="B152">
        <v>2.7944693565368599</v>
      </c>
      <c r="C152" s="1">
        <v>2.2999999999999998</v>
      </c>
      <c r="D152">
        <f>ABS(B152-C152)</f>
        <v>0.49446935653686008</v>
      </c>
    </row>
    <row r="153" spans="1:4" x14ac:dyDescent="0.4">
      <c r="A153" s="4">
        <v>152</v>
      </c>
      <c r="B153">
        <v>2.7122733592986998</v>
      </c>
      <c r="C153" s="1">
        <v>2.2999999999999998</v>
      </c>
      <c r="D153">
        <f>ABS(B153-C153)</f>
        <v>0.41227335929870002</v>
      </c>
    </row>
    <row r="154" spans="1:4" x14ac:dyDescent="0.4">
      <c r="A154" s="4">
        <v>153</v>
      </c>
      <c r="B154">
        <v>2.7506844997406001</v>
      </c>
      <c r="C154" s="1">
        <v>2.2999999999999998</v>
      </c>
      <c r="D154">
        <f>ABS(B154-C154)</f>
        <v>0.45068449974060032</v>
      </c>
    </row>
    <row r="155" spans="1:4" x14ac:dyDescent="0.4">
      <c r="A155" s="4">
        <v>154</v>
      </c>
      <c r="B155">
        <v>3.4254462718963601</v>
      </c>
      <c r="C155" s="1">
        <v>3</v>
      </c>
      <c r="D155">
        <f>ABS(B155-C155)</f>
        <v>0.42544627189636008</v>
      </c>
    </row>
    <row r="156" spans="1:4" x14ac:dyDescent="0.4">
      <c r="A156" s="4">
        <v>155</v>
      </c>
      <c r="B156">
        <v>3.2216382026672301</v>
      </c>
      <c r="C156" s="1">
        <v>3</v>
      </c>
      <c r="D156">
        <f>ABS(B156-C156)</f>
        <v>0.22163820266723011</v>
      </c>
    </row>
    <row r="157" spans="1:4" x14ac:dyDescent="0.4">
      <c r="A157" s="4">
        <v>156</v>
      </c>
      <c r="B157">
        <v>3.41341972351074</v>
      </c>
      <c r="C157" s="1">
        <v>3</v>
      </c>
      <c r="D157">
        <f>ABS(B157-C157)</f>
        <v>0.41341972351073997</v>
      </c>
    </row>
    <row r="158" spans="1:4" x14ac:dyDescent="0.4">
      <c r="A158" s="4">
        <v>157</v>
      </c>
      <c r="B158">
        <v>3.3649647235870299</v>
      </c>
      <c r="C158" s="1">
        <v>3.7</v>
      </c>
      <c r="D158">
        <f>ABS(B158-C158)</f>
        <v>0.33503527641297026</v>
      </c>
    </row>
    <row r="159" spans="1:4" x14ac:dyDescent="0.4">
      <c r="A159" s="4">
        <v>158</v>
      </c>
      <c r="B159">
        <v>3.34644150733947</v>
      </c>
      <c r="C159" s="1">
        <v>3.7</v>
      </c>
      <c r="D159">
        <f>ABS(B159-C159)</f>
        <v>0.35355849266053019</v>
      </c>
    </row>
    <row r="160" spans="1:4" x14ac:dyDescent="0.4">
      <c r="A160" s="4">
        <v>159</v>
      </c>
      <c r="B160">
        <v>3.2387909889221098</v>
      </c>
      <c r="C160" s="1">
        <v>3.7</v>
      </c>
      <c r="D160">
        <f>ABS(B160-C160)</f>
        <v>0.46120901107789036</v>
      </c>
    </row>
    <row r="161" spans="1:4" x14ac:dyDescent="0.4">
      <c r="A161" s="4">
        <v>160</v>
      </c>
      <c r="B161">
        <v>3.4663050174713099</v>
      </c>
      <c r="C161" s="1">
        <v>4.4000000000000004</v>
      </c>
      <c r="D161">
        <f>ABS(B161-C161)</f>
        <v>0.93369498252869043</v>
      </c>
    </row>
    <row r="162" spans="1:4" x14ac:dyDescent="0.4">
      <c r="A162" s="4">
        <v>161</v>
      </c>
      <c r="B162">
        <v>3.47820973396301</v>
      </c>
      <c r="C162" s="1">
        <v>4.4000000000000004</v>
      </c>
      <c r="D162">
        <f>ABS(B162-C162)</f>
        <v>0.92179026603699032</v>
      </c>
    </row>
    <row r="163" spans="1:4" x14ac:dyDescent="0.4">
      <c r="A163" s="4">
        <v>162</v>
      </c>
      <c r="B163">
        <v>3.5630571842193599</v>
      </c>
      <c r="C163" s="1">
        <v>4.4000000000000004</v>
      </c>
      <c r="D163">
        <f>ABS(B163-C163)</f>
        <v>0.83694281578064045</v>
      </c>
    </row>
    <row r="164" spans="1:4" x14ac:dyDescent="0.4">
      <c r="A164" s="4">
        <v>163</v>
      </c>
      <c r="B164">
        <v>3.6685183048248202</v>
      </c>
      <c r="C164" s="1">
        <v>5.0999999999999996</v>
      </c>
      <c r="D164">
        <f>ABS(B164-C164)</f>
        <v>1.4314816951751794</v>
      </c>
    </row>
    <row r="165" spans="1:4" x14ac:dyDescent="0.4">
      <c r="A165" s="4">
        <v>164</v>
      </c>
      <c r="B165">
        <v>3.74140000343322</v>
      </c>
      <c r="C165" s="1">
        <v>5.0999999999999996</v>
      </c>
      <c r="D165">
        <f>ABS(B165-C165)</f>
        <v>1.3585999965667797</v>
      </c>
    </row>
    <row r="166" spans="1:4" x14ac:dyDescent="0.4">
      <c r="A166" s="4">
        <v>165</v>
      </c>
      <c r="B166">
        <v>3.7781596183776802</v>
      </c>
      <c r="C166" s="1">
        <v>5.0999999999999996</v>
      </c>
      <c r="D166">
        <f>ABS(B166-C166)</f>
        <v>1.3218403816223194</v>
      </c>
    </row>
    <row r="167" spans="1:4" x14ac:dyDescent="0.4">
      <c r="A167" s="4">
        <v>166</v>
      </c>
      <c r="B167">
        <v>1.7652838230132999</v>
      </c>
      <c r="C167" s="1">
        <v>1.75</v>
      </c>
      <c r="D167">
        <f>ABS(B167-C167)</f>
        <v>1.5283823013299891E-2</v>
      </c>
    </row>
    <row r="168" spans="1:4" x14ac:dyDescent="0.4">
      <c r="A168" s="4">
        <v>167</v>
      </c>
      <c r="B168">
        <v>1.7597908973693801</v>
      </c>
      <c r="C168" s="1">
        <v>1.75</v>
      </c>
      <c r="D168">
        <f>ABS(B168-C168)</f>
        <v>9.7908973693801027E-3</v>
      </c>
    </row>
    <row r="169" spans="1:4" x14ac:dyDescent="0.4">
      <c r="A169" s="4">
        <v>168</v>
      </c>
      <c r="B169">
        <v>1.7730584144592201</v>
      </c>
      <c r="C169" s="1">
        <v>1.75</v>
      </c>
      <c r="D169">
        <f>ABS(B169-C169)</f>
        <v>2.3058414459220078E-2</v>
      </c>
    </row>
    <row r="170" spans="1:4" x14ac:dyDescent="0.4">
      <c r="A170" s="4">
        <v>169</v>
      </c>
      <c r="B170">
        <v>2.56573486328125</v>
      </c>
      <c r="C170" s="1">
        <v>1.75</v>
      </c>
      <c r="D170">
        <f>ABS(B170-C170)</f>
        <v>0.81573486328125</v>
      </c>
    </row>
    <row r="171" spans="1:4" x14ac:dyDescent="0.4">
      <c r="A171" s="4">
        <v>170</v>
      </c>
      <c r="B171">
        <v>2.57752060890197</v>
      </c>
      <c r="C171" s="1">
        <v>1.75</v>
      </c>
      <c r="D171">
        <f>ABS(B171-C171)</f>
        <v>0.82752060890196999</v>
      </c>
    </row>
    <row r="172" spans="1:4" x14ac:dyDescent="0.4">
      <c r="A172" s="4">
        <v>171</v>
      </c>
      <c r="B172">
        <v>2.6308612823486301</v>
      </c>
      <c r="C172" s="1">
        <v>1.75</v>
      </c>
      <c r="D172">
        <f>ABS(B172-C172)</f>
        <v>0.88086128234863015</v>
      </c>
    </row>
    <row r="173" spans="1:4" x14ac:dyDescent="0.4">
      <c r="A173" s="4">
        <v>172</v>
      </c>
      <c r="B173">
        <v>1.67178583145141</v>
      </c>
      <c r="C173" s="1">
        <v>2.75</v>
      </c>
      <c r="D173">
        <f>ABS(B173-C173)</f>
        <v>1.07821416854859</v>
      </c>
    </row>
    <row r="174" spans="1:4" x14ac:dyDescent="0.4">
      <c r="A174" s="4">
        <v>173</v>
      </c>
      <c r="B174">
        <v>3.6303033828735001</v>
      </c>
      <c r="C174" s="1">
        <v>2.75</v>
      </c>
      <c r="D174">
        <f>ABS(B174-C174)</f>
        <v>0.88030338287350007</v>
      </c>
    </row>
    <row r="175" spans="1:4" x14ac:dyDescent="0.4">
      <c r="A175" s="4">
        <v>174</v>
      </c>
      <c r="B175">
        <v>2.49927377700805</v>
      </c>
      <c r="C175" s="1">
        <v>2.75</v>
      </c>
      <c r="D175">
        <f>ABS(B175-C175)</f>
        <v>0.25072622299195002</v>
      </c>
    </row>
    <row r="176" spans="1:4" x14ac:dyDescent="0.4">
      <c r="A176" s="4">
        <v>175</v>
      </c>
      <c r="B176">
        <v>1.7937197685241699</v>
      </c>
      <c r="C176" s="1">
        <v>2.75</v>
      </c>
      <c r="D176">
        <f>ABS(B176-C176)</f>
        <v>0.95628023147583008</v>
      </c>
    </row>
    <row r="177" spans="1:4" x14ac:dyDescent="0.4">
      <c r="A177" s="4">
        <v>176</v>
      </c>
      <c r="B177">
        <v>1.77474725246429</v>
      </c>
      <c r="C177" s="1">
        <v>2.75</v>
      </c>
      <c r="D177">
        <f>ABS(B177-C177)</f>
        <v>0.97525274753571001</v>
      </c>
    </row>
    <row r="178" spans="1:4" x14ac:dyDescent="0.4">
      <c r="A178" s="4">
        <v>177</v>
      </c>
      <c r="B178">
        <v>2.7706893682479801</v>
      </c>
      <c r="C178" s="1">
        <v>2.75</v>
      </c>
      <c r="D178">
        <f>ABS(B178-C178)</f>
        <v>2.0689368247980067E-2</v>
      </c>
    </row>
    <row r="179" spans="1:4" x14ac:dyDescent="0.4">
      <c r="A179" s="4">
        <v>178</v>
      </c>
      <c r="B179">
        <v>3.5991911888122501</v>
      </c>
      <c r="C179" s="1">
        <v>3.75</v>
      </c>
      <c r="D179">
        <f>ABS(B179-C179)</f>
        <v>0.15080881118774991</v>
      </c>
    </row>
    <row r="180" spans="1:4" x14ac:dyDescent="0.4">
      <c r="A180" s="4">
        <v>179</v>
      </c>
      <c r="B180">
        <v>4.0711739301681504</v>
      </c>
      <c r="C180" s="1">
        <v>3.75</v>
      </c>
      <c r="D180">
        <f>ABS(B180-C180)</f>
        <v>0.32117393016815043</v>
      </c>
    </row>
    <row r="181" spans="1:4" x14ac:dyDescent="0.4">
      <c r="A181" s="4">
        <v>180</v>
      </c>
      <c r="B181">
        <v>3.7954443149566601</v>
      </c>
      <c r="C181" s="1">
        <v>3.75</v>
      </c>
      <c r="D181">
        <f>ABS(B181-C181)</f>
        <v>4.5444314956660126E-2</v>
      </c>
    </row>
    <row r="182" spans="1:4" x14ac:dyDescent="0.4">
      <c r="A182" s="4">
        <v>181</v>
      </c>
      <c r="B182">
        <v>3.7261996269225999</v>
      </c>
      <c r="C182" s="1">
        <v>3.75</v>
      </c>
      <c r="D182">
        <f>ABS(B182-C182)</f>
        <v>2.3800373077400128E-2</v>
      </c>
    </row>
    <row r="183" spans="1:4" x14ac:dyDescent="0.4">
      <c r="A183" s="4">
        <v>182</v>
      </c>
      <c r="B183">
        <v>3.7765798568725502</v>
      </c>
      <c r="C183" s="1">
        <v>3.75</v>
      </c>
      <c r="D183">
        <f>ABS(B183-C183)</f>
        <v>2.6579856872550156E-2</v>
      </c>
    </row>
    <row r="184" spans="1:4" x14ac:dyDescent="0.4">
      <c r="A184" s="4">
        <v>183</v>
      </c>
      <c r="B184">
        <v>3.7563166618347101</v>
      </c>
      <c r="C184" s="1">
        <v>3.75</v>
      </c>
      <c r="D184">
        <f>ABS(B184-C184)</f>
        <v>6.3166618347101355E-3</v>
      </c>
    </row>
    <row r="185" spans="1:4" x14ac:dyDescent="0.4">
      <c r="A185" s="4">
        <v>184</v>
      </c>
      <c r="B185">
        <v>4.7780795097351003</v>
      </c>
      <c r="C185" s="1">
        <v>4.75</v>
      </c>
      <c r="D185">
        <f>ABS(B185-C185)</f>
        <v>2.8079509735100316E-2</v>
      </c>
    </row>
    <row r="186" spans="1:4" x14ac:dyDescent="0.4">
      <c r="A186" s="4">
        <v>185</v>
      </c>
      <c r="B186">
        <v>4.7597908973693803</v>
      </c>
      <c r="C186" s="1">
        <v>4.75</v>
      </c>
      <c r="D186">
        <f>ABS(B186-C186)</f>
        <v>9.7908973693803247E-3</v>
      </c>
    </row>
    <row r="187" spans="1:4" x14ac:dyDescent="0.4">
      <c r="A187" s="4">
        <v>186</v>
      </c>
      <c r="B187">
        <v>4.6484622955322203</v>
      </c>
      <c r="C187" s="1">
        <v>4.75</v>
      </c>
      <c r="D187">
        <f>ABS(B187-C187)</f>
        <v>0.10153770446777965</v>
      </c>
    </row>
    <row r="188" spans="1:4" x14ac:dyDescent="0.4">
      <c r="A188" s="4">
        <v>187</v>
      </c>
      <c r="B188">
        <v>4.7011775970458896</v>
      </c>
      <c r="C188" s="1">
        <v>4.75</v>
      </c>
      <c r="D188">
        <f>ABS(B188-C188)</f>
        <v>4.8822402954110444E-2</v>
      </c>
    </row>
    <row r="189" spans="1:4" x14ac:dyDescent="0.4">
      <c r="A189" s="4">
        <v>188</v>
      </c>
      <c r="B189">
        <v>4.7823157310485804</v>
      </c>
      <c r="C189" s="1">
        <v>4.75</v>
      </c>
      <c r="D189">
        <f>ABS(B189-C189)</f>
        <v>3.2315731048580432E-2</v>
      </c>
    </row>
    <row r="190" spans="1:4" x14ac:dyDescent="0.4">
      <c r="A190" s="4">
        <v>189</v>
      </c>
      <c r="B190">
        <v>4.7663307189941397</v>
      </c>
      <c r="C190" s="1">
        <v>4.75</v>
      </c>
      <c r="D190">
        <f>ABS(B190-C190)</f>
        <v>1.6330718994139737E-2</v>
      </c>
    </row>
    <row r="191" spans="1:4" x14ac:dyDescent="0.4">
      <c r="A191" s="4">
        <v>191</v>
      </c>
      <c r="B191">
        <v>1.8857192993164</v>
      </c>
      <c r="C191" s="1">
        <v>2.2999999999999998</v>
      </c>
      <c r="D191">
        <f>ABS(B191-C191)</f>
        <v>0.41428070068359979</v>
      </c>
    </row>
    <row r="192" spans="1:4" x14ac:dyDescent="0.4">
      <c r="A192" s="4">
        <v>192</v>
      </c>
      <c r="B192">
        <v>1.89190602302551</v>
      </c>
      <c r="C192" s="1">
        <v>2.2999999999999998</v>
      </c>
      <c r="D192">
        <f>ABS(B192-C192)</f>
        <v>0.40809397697448979</v>
      </c>
    </row>
    <row r="193" spans="1:4" x14ac:dyDescent="0.4">
      <c r="A193" s="4">
        <v>193</v>
      </c>
      <c r="B193">
        <v>2.5417883396148602</v>
      </c>
      <c r="C193" s="1">
        <v>2.2999999999999998</v>
      </c>
      <c r="D193">
        <f>ABS(B193-C193)</f>
        <v>0.24178833961486035</v>
      </c>
    </row>
    <row r="194" spans="1:4" x14ac:dyDescent="0.4">
      <c r="A194" s="4">
        <v>194</v>
      </c>
      <c r="B194">
        <v>2.9527301788329998</v>
      </c>
      <c r="C194" s="1">
        <v>3</v>
      </c>
      <c r="D194">
        <f>ABS(B194-C194)</f>
        <v>4.7269821167000181E-2</v>
      </c>
    </row>
    <row r="195" spans="1:4" x14ac:dyDescent="0.4">
      <c r="A195" s="4">
        <v>195</v>
      </c>
      <c r="B195">
        <v>2.8357257843017498</v>
      </c>
      <c r="C195" s="1">
        <v>3</v>
      </c>
      <c r="D195">
        <f>ABS(B195-C195)</f>
        <v>0.16427421569825018</v>
      </c>
    </row>
    <row r="196" spans="1:4" x14ac:dyDescent="0.4">
      <c r="A196" s="4">
        <v>196</v>
      </c>
      <c r="B196">
        <v>2.5316901206970202</v>
      </c>
      <c r="C196" s="1">
        <v>3</v>
      </c>
      <c r="D196">
        <f>ABS(B196-C196)</f>
        <v>0.46830987930297985</v>
      </c>
    </row>
    <row r="197" spans="1:4" x14ac:dyDescent="0.4">
      <c r="A197" s="4">
        <v>197</v>
      </c>
      <c r="B197">
        <v>3.1607470512390101</v>
      </c>
      <c r="C197" s="1">
        <v>3.7</v>
      </c>
      <c r="D197">
        <f>ABS(B197-C197)</f>
        <v>0.53925294876099006</v>
      </c>
    </row>
    <row r="198" spans="1:4" x14ac:dyDescent="0.4">
      <c r="A198" s="4">
        <v>198</v>
      </c>
      <c r="B198">
        <v>2.9486167430877601</v>
      </c>
      <c r="C198" s="1">
        <v>3.7</v>
      </c>
      <c r="D198">
        <f>ABS(B198-C198)</f>
        <v>0.75138325691224006</v>
      </c>
    </row>
    <row r="199" spans="1:4" x14ac:dyDescent="0.4">
      <c r="A199" s="4">
        <v>199</v>
      </c>
      <c r="B199">
        <v>3.5545549392700102</v>
      </c>
      <c r="C199" s="1">
        <v>3.7</v>
      </c>
      <c r="D199">
        <f>ABS(B199-C199)</f>
        <v>0.14544506072998997</v>
      </c>
    </row>
    <row r="200" spans="1:4" x14ac:dyDescent="0.4">
      <c r="A200" s="4">
        <v>200</v>
      </c>
      <c r="B200">
        <v>3.7155191898345898</v>
      </c>
      <c r="C200" s="1">
        <v>4.4000000000000004</v>
      </c>
      <c r="D200">
        <f>ABS(B200-C200)</f>
        <v>0.68448081016541051</v>
      </c>
    </row>
    <row r="201" spans="1:4" x14ac:dyDescent="0.4">
      <c r="A201" s="4">
        <v>201</v>
      </c>
      <c r="B201">
        <v>3.6366987228393501</v>
      </c>
      <c r="C201" s="1">
        <v>4.4000000000000004</v>
      </c>
      <c r="D201">
        <f>ABS(B201-C201)</f>
        <v>0.76330127716065022</v>
      </c>
    </row>
    <row r="202" spans="1:4" x14ac:dyDescent="0.4">
      <c r="A202" s="4">
        <v>202</v>
      </c>
      <c r="B202">
        <v>3.8229167461395201</v>
      </c>
      <c r="C202" s="1">
        <v>4.4000000000000004</v>
      </c>
      <c r="D202">
        <f>ABS(B202-C202)</f>
        <v>0.57708325386048021</v>
      </c>
    </row>
    <row r="203" spans="1:4" x14ac:dyDescent="0.4">
      <c r="A203" s="4">
        <v>203</v>
      </c>
      <c r="B203">
        <v>4.1234507560729901</v>
      </c>
      <c r="C203" s="1">
        <v>5.0999999999999996</v>
      </c>
      <c r="D203">
        <f>ABS(B203-C203)</f>
        <v>0.97654924392700959</v>
      </c>
    </row>
    <row r="204" spans="1:4" x14ac:dyDescent="0.4">
      <c r="A204" s="4">
        <v>204</v>
      </c>
      <c r="B204">
        <v>3.9507708549499498</v>
      </c>
      <c r="C204" s="1">
        <v>5.0999999999999996</v>
      </c>
      <c r="D204">
        <f>ABS(B204-C204)</f>
        <v>1.1492291450500498</v>
      </c>
    </row>
    <row r="205" spans="1:4" x14ac:dyDescent="0.4">
      <c r="A205" s="4">
        <v>205</v>
      </c>
      <c r="B205">
        <v>4.2396574020385698</v>
      </c>
      <c r="C205" s="1">
        <v>5.0999999999999996</v>
      </c>
      <c r="D205">
        <f>ABS(B205-C205)</f>
        <v>0.86034259796142987</v>
      </c>
    </row>
    <row r="206" spans="1:4" x14ac:dyDescent="0.4">
      <c r="A206" s="4">
        <v>206</v>
      </c>
      <c r="B206">
        <v>1.8888734579086299</v>
      </c>
      <c r="C206" s="1">
        <v>1.75</v>
      </c>
      <c r="D206">
        <f>ABS(B206-C206)</f>
        <v>0.13887345790862993</v>
      </c>
    </row>
    <row r="207" spans="1:4" x14ac:dyDescent="0.4">
      <c r="A207" s="4">
        <v>207</v>
      </c>
      <c r="B207">
        <v>1.93211281299591</v>
      </c>
      <c r="C207" s="1">
        <v>1.75</v>
      </c>
      <c r="D207">
        <f>ABS(B207-C207)</f>
        <v>0.18211281299590998</v>
      </c>
    </row>
    <row r="208" spans="1:4" x14ac:dyDescent="0.4">
      <c r="A208" s="4">
        <v>208</v>
      </c>
      <c r="B208">
        <v>1.8948994874954199</v>
      </c>
      <c r="C208" s="1">
        <v>1.75</v>
      </c>
      <c r="D208">
        <f>ABS(B208-C208)</f>
        <v>0.14489948749541992</v>
      </c>
    </row>
    <row r="209" spans="1:4" x14ac:dyDescent="0.4">
      <c r="A209" s="4">
        <v>209</v>
      </c>
      <c r="B209">
        <v>3.2828621864318799</v>
      </c>
      <c r="C209" s="1">
        <v>2.75</v>
      </c>
      <c r="D209">
        <f>ABS(B209-C209)</f>
        <v>0.53286218643187988</v>
      </c>
    </row>
    <row r="210" spans="1:4" x14ac:dyDescent="0.4">
      <c r="A210" s="4">
        <v>210</v>
      </c>
      <c r="B210">
        <v>3.07190537452697</v>
      </c>
      <c r="C210" s="1">
        <v>2.75</v>
      </c>
      <c r="D210">
        <f>ABS(B210-C210)</f>
        <v>0.32190537452696999</v>
      </c>
    </row>
    <row r="211" spans="1:4" x14ac:dyDescent="0.4">
      <c r="A211" s="4">
        <v>211</v>
      </c>
      <c r="B211">
        <v>3.2107162475585902</v>
      </c>
      <c r="C211" s="1">
        <v>2.75</v>
      </c>
      <c r="D211">
        <f>ABS(B211-C211)</f>
        <v>0.4607162475585902</v>
      </c>
    </row>
    <row r="212" spans="1:4" x14ac:dyDescent="0.4">
      <c r="A212" s="4">
        <v>212</v>
      </c>
      <c r="B212">
        <v>4.1266069412231401</v>
      </c>
      <c r="C212" s="1">
        <v>3.75</v>
      </c>
      <c r="D212">
        <f>ABS(B212-C212)</f>
        <v>0.37660694122314009</v>
      </c>
    </row>
    <row r="213" spans="1:4" x14ac:dyDescent="0.4">
      <c r="A213" s="4">
        <v>213</v>
      </c>
      <c r="B213">
        <v>4.1615800857543901</v>
      </c>
      <c r="C213" s="1">
        <v>3.75</v>
      </c>
      <c r="D213">
        <f>ABS(B213-C213)</f>
        <v>0.41158008575439009</v>
      </c>
    </row>
    <row r="214" spans="1:4" x14ac:dyDescent="0.4">
      <c r="A214" s="4">
        <v>214</v>
      </c>
      <c r="B214">
        <v>4.1327705383300701</v>
      </c>
      <c r="C214" s="1">
        <v>3.75</v>
      </c>
      <c r="D214">
        <f>ABS(B214-C214)</f>
        <v>0.38277053833007013</v>
      </c>
    </row>
    <row r="215" spans="1:4" x14ac:dyDescent="0.4">
      <c r="A215" s="4">
        <v>215</v>
      </c>
      <c r="B215">
        <v>4.35292625427246</v>
      </c>
      <c r="C215" s="1">
        <v>4.75</v>
      </c>
      <c r="D215">
        <f>ABS(B215-C215)</f>
        <v>0.39707374572753995</v>
      </c>
    </row>
    <row r="216" spans="1:4" x14ac:dyDescent="0.4">
      <c r="A216" s="4">
        <v>216</v>
      </c>
      <c r="B216">
        <v>4.4605250358581499</v>
      </c>
      <c r="C216" s="1">
        <v>4.75</v>
      </c>
      <c r="D216">
        <f>ABS(B216-C216)</f>
        <v>0.28947496414185014</v>
      </c>
    </row>
    <row r="217" spans="1:4" x14ac:dyDescent="0.4">
      <c r="A217" s="4">
        <v>217</v>
      </c>
      <c r="B217">
        <v>4.6806292533874503</v>
      </c>
      <c r="C217" s="1">
        <v>4.75</v>
      </c>
      <c r="D217">
        <f>ABS(B217-C217)</f>
        <v>6.9370746612549716E-2</v>
      </c>
    </row>
    <row r="218" spans="1:4" x14ac:dyDescent="0.4">
      <c r="A218" s="4">
        <v>218</v>
      </c>
      <c r="B218">
        <v>5.8154830932617099</v>
      </c>
      <c r="C218" s="1">
        <v>5.75</v>
      </c>
      <c r="D218">
        <f>ABS(B218-C218)</f>
        <v>6.5483093261709868E-2</v>
      </c>
    </row>
    <row r="219" spans="1:4" x14ac:dyDescent="0.4">
      <c r="A219" s="4">
        <v>219</v>
      </c>
      <c r="B219">
        <v>5.9325593261709999</v>
      </c>
      <c r="C219" s="1">
        <v>5.75</v>
      </c>
      <c r="D219">
        <f>ABS(B219-C219)</f>
        <v>0.1825593261709999</v>
      </c>
    </row>
    <row r="220" spans="1:4" x14ac:dyDescent="0.4">
      <c r="A220" s="4">
        <v>220</v>
      </c>
      <c r="B220">
        <v>5.5254830932617098</v>
      </c>
      <c r="C220" s="1">
        <v>5.75</v>
      </c>
      <c r="D220">
        <f>ABS(B220-C220)</f>
        <v>0.22451690673829017</v>
      </c>
    </row>
    <row r="221" spans="1:4" x14ac:dyDescent="0.4">
      <c r="A221" s="4">
        <v>221</v>
      </c>
    </row>
    <row r="222" spans="1:4" x14ac:dyDescent="0.4">
      <c r="A222" s="4">
        <v>222</v>
      </c>
    </row>
    <row r="223" spans="1:4" x14ac:dyDescent="0.4">
      <c r="A223" s="4">
        <v>223</v>
      </c>
    </row>
    <row r="224" spans="1:4" x14ac:dyDescent="0.4">
      <c r="A224" s="4">
        <v>224</v>
      </c>
    </row>
    <row r="225" spans="1:1" x14ac:dyDescent="0.4">
      <c r="A225" s="4">
        <v>225</v>
      </c>
    </row>
    <row r="226" spans="1:1" x14ac:dyDescent="0.4">
      <c r="A226" s="4">
        <v>226</v>
      </c>
    </row>
    <row r="227" spans="1:1" x14ac:dyDescent="0.4">
      <c r="A227" s="4">
        <v>227</v>
      </c>
    </row>
    <row r="228" spans="1:1" x14ac:dyDescent="0.4">
      <c r="A228" s="4">
        <v>228</v>
      </c>
    </row>
    <row r="229" spans="1:1" x14ac:dyDescent="0.4">
      <c r="A229" s="4">
        <v>229</v>
      </c>
    </row>
    <row r="230" spans="1:1" x14ac:dyDescent="0.4">
      <c r="A230" s="4">
        <v>230</v>
      </c>
    </row>
    <row r="231" spans="1:1" x14ac:dyDescent="0.4">
      <c r="A231" s="4">
        <v>231</v>
      </c>
    </row>
    <row r="232" spans="1:1" x14ac:dyDescent="0.4">
      <c r="A232" s="4">
        <v>232</v>
      </c>
    </row>
    <row r="233" spans="1:1" x14ac:dyDescent="0.4">
      <c r="A233" s="4">
        <v>233</v>
      </c>
    </row>
    <row r="234" spans="1:1" x14ac:dyDescent="0.4">
      <c r="A234" s="4">
        <v>234</v>
      </c>
    </row>
    <row r="235" spans="1:1" x14ac:dyDescent="0.4">
      <c r="A235" s="4">
        <v>235</v>
      </c>
    </row>
    <row r="236" spans="1:1" x14ac:dyDescent="0.4">
      <c r="A236" s="4">
        <v>236</v>
      </c>
    </row>
    <row r="237" spans="1:1" x14ac:dyDescent="0.4">
      <c r="A237" s="4">
        <v>237</v>
      </c>
    </row>
    <row r="238" spans="1:1" x14ac:dyDescent="0.4">
      <c r="A238" s="4">
        <v>238</v>
      </c>
    </row>
    <row r="239" spans="1:1" x14ac:dyDescent="0.4">
      <c r="A239" s="4">
        <v>239</v>
      </c>
    </row>
    <row r="240" spans="1:1" x14ac:dyDescent="0.4">
      <c r="A240" s="4">
        <v>240</v>
      </c>
    </row>
    <row r="241" spans="1:1" x14ac:dyDescent="0.4">
      <c r="A241" s="4">
        <v>241</v>
      </c>
    </row>
    <row r="242" spans="1:1" x14ac:dyDescent="0.4">
      <c r="A242" s="4">
        <v>242</v>
      </c>
    </row>
    <row r="243" spans="1:1" x14ac:dyDescent="0.4">
      <c r="A243" s="4">
        <v>243</v>
      </c>
    </row>
    <row r="244" spans="1:1" x14ac:dyDescent="0.4">
      <c r="A244" s="4">
        <v>244</v>
      </c>
    </row>
    <row r="245" spans="1:1" x14ac:dyDescent="0.4">
      <c r="A245" s="4">
        <v>245</v>
      </c>
    </row>
    <row r="246" spans="1:1" x14ac:dyDescent="0.4">
      <c r="A246" s="4">
        <v>246</v>
      </c>
    </row>
    <row r="247" spans="1:1" x14ac:dyDescent="0.4">
      <c r="A247" s="4">
        <v>247</v>
      </c>
    </row>
    <row r="248" spans="1:1" x14ac:dyDescent="0.4">
      <c r="A248" s="4">
        <v>248</v>
      </c>
    </row>
    <row r="249" spans="1:1" x14ac:dyDescent="0.4">
      <c r="A249" s="4">
        <v>249</v>
      </c>
    </row>
    <row r="250" spans="1:1" x14ac:dyDescent="0.4">
      <c r="A250" s="4">
        <v>250</v>
      </c>
    </row>
    <row r="251" spans="1:1" x14ac:dyDescent="0.4">
      <c r="A251" s="4">
        <v>251</v>
      </c>
    </row>
    <row r="252" spans="1:1" x14ac:dyDescent="0.4">
      <c r="A252" s="4">
        <v>252</v>
      </c>
    </row>
    <row r="253" spans="1:1" x14ac:dyDescent="0.4">
      <c r="A253" s="4">
        <v>253</v>
      </c>
    </row>
    <row r="254" spans="1:1" x14ac:dyDescent="0.4">
      <c r="A254" s="4">
        <v>254</v>
      </c>
    </row>
    <row r="255" spans="1:1" x14ac:dyDescent="0.4">
      <c r="A255" s="4">
        <v>255</v>
      </c>
    </row>
    <row r="256" spans="1:1" x14ac:dyDescent="0.4">
      <c r="A256" s="4">
        <v>256</v>
      </c>
    </row>
    <row r="257" spans="1:1" x14ac:dyDescent="0.4">
      <c r="A257" s="4">
        <v>257</v>
      </c>
    </row>
    <row r="258" spans="1:1" x14ac:dyDescent="0.4">
      <c r="A258" s="4">
        <v>258</v>
      </c>
    </row>
    <row r="259" spans="1:1" x14ac:dyDescent="0.4">
      <c r="A259" s="4">
        <v>259</v>
      </c>
    </row>
    <row r="260" spans="1:1" x14ac:dyDescent="0.4">
      <c r="A260" s="4">
        <v>260</v>
      </c>
    </row>
    <row r="261" spans="1:1" x14ac:dyDescent="0.4">
      <c r="A261" s="4">
        <v>261</v>
      </c>
    </row>
    <row r="262" spans="1:1" x14ac:dyDescent="0.4">
      <c r="A262" s="4">
        <v>262</v>
      </c>
    </row>
    <row r="263" spans="1:1" x14ac:dyDescent="0.4">
      <c r="A263" s="4">
        <v>263</v>
      </c>
    </row>
    <row r="264" spans="1:1" x14ac:dyDescent="0.4">
      <c r="A264" s="4">
        <v>264</v>
      </c>
    </row>
    <row r="265" spans="1:1" x14ac:dyDescent="0.4">
      <c r="A265" s="4">
        <v>265</v>
      </c>
    </row>
    <row r="266" spans="1:1" x14ac:dyDescent="0.4">
      <c r="A266" s="4">
        <v>266</v>
      </c>
    </row>
    <row r="267" spans="1:1" x14ac:dyDescent="0.4">
      <c r="A267" s="4">
        <v>267</v>
      </c>
    </row>
    <row r="268" spans="1:1" x14ac:dyDescent="0.4">
      <c r="A268" s="4">
        <v>268</v>
      </c>
    </row>
    <row r="269" spans="1:1" x14ac:dyDescent="0.4">
      <c r="A269" s="4">
        <v>269</v>
      </c>
    </row>
    <row r="270" spans="1:1" x14ac:dyDescent="0.4">
      <c r="A270" s="4">
        <v>270</v>
      </c>
    </row>
    <row r="271" spans="1:1" x14ac:dyDescent="0.4">
      <c r="A271" s="4">
        <v>271</v>
      </c>
    </row>
    <row r="272" spans="1:1" x14ac:dyDescent="0.4">
      <c r="A272" s="4">
        <v>272</v>
      </c>
    </row>
    <row r="273" spans="1:1" x14ac:dyDescent="0.4">
      <c r="A273" s="4">
        <v>273</v>
      </c>
    </row>
    <row r="274" spans="1:1" x14ac:dyDescent="0.4">
      <c r="A274" s="4">
        <v>274</v>
      </c>
    </row>
    <row r="275" spans="1:1" x14ac:dyDescent="0.4">
      <c r="A275" s="4">
        <v>275</v>
      </c>
    </row>
    <row r="276" spans="1:1" x14ac:dyDescent="0.4">
      <c r="A276" s="4">
        <v>276</v>
      </c>
    </row>
    <row r="277" spans="1:1" x14ac:dyDescent="0.4">
      <c r="A277" s="4">
        <v>277</v>
      </c>
    </row>
    <row r="278" spans="1:1" x14ac:dyDescent="0.4">
      <c r="A278" s="4">
        <v>278</v>
      </c>
    </row>
    <row r="279" spans="1:1" x14ac:dyDescent="0.4">
      <c r="A279" s="4">
        <v>279</v>
      </c>
    </row>
    <row r="280" spans="1:1" x14ac:dyDescent="0.4">
      <c r="A280" s="4">
        <v>280</v>
      </c>
    </row>
    <row r="281" spans="1:1" x14ac:dyDescent="0.4">
      <c r="A281" s="4">
        <v>281</v>
      </c>
    </row>
    <row r="282" spans="1:1" x14ac:dyDescent="0.4">
      <c r="A282" s="4">
        <v>282</v>
      </c>
    </row>
    <row r="283" spans="1:1" x14ac:dyDescent="0.4">
      <c r="A283" s="4">
        <v>283</v>
      </c>
    </row>
    <row r="284" spans="1:1" x14ac:dyDescent="0.4">
      <c r="A284" s="4">
        <v>284</v>
      </c>
    </row>
    <row r="285" spans="1:1" x14ac:dyDescent="0.4">
      <c r="A285" s="4">
        <v>285</v>
      </c>
    </row>
    <row r="286" spans="1:1" x14ac:dyDescent="0.4">
      <c r="A286" s="4">
        <v>286</v>
      </c>
    </row>
    <row r="287" spans="1:1" x14ac:dyDescent="0.4">
      <c r="A287" s="4">
        <v>287</v>
      </c>
    </row>
    <row r="288" spans="1:1" x14ac:dyDescent="0.4">
      <c r="A288" s="4">
        <v>288</v>
      </c>
    </row>
    <row r="289" spans="1:1" x14ac:dyDescent="0.4">
      <c r="A289" s="4">
        <v>289</v>
      </c>
    </row>
    <row r="290" spans="1:1" x14ac:dyDescent="0.4">
      <c r="A290" s="4">
        <v>290</v>
      </c>
    </row>
    <row r="291" spans="1:1" x14ac:dyDescent="0.4">
      <c r="A291" s="4">
        <v>291</v>
      </c>
    </row>
    <row r="292" spans="1:1" x14ac:dyDescent="0.4">
      <c r="A292" s="4">
        <v>292</v>
      </c>
    </row>
    <row r="293" spans="1:1" x14ac:dyDescent="0.4">
      <c r="A293" s="4">
        <v>293</v>
      </c>
    </row>
    <row r="294" spans="1:1" x14ac:dyDescent="0.4">
      <c r="A294" s="4">
        <v>294</v>
      </c>
    </row>
    <row r="295" spans="1:1" x14ac:dyDescent="0.4">
      <c r="A295" s="4">
        <v>295</v>
      </c>
    </row>
    <row r="296" spans="1:1" x14ac:dyDescent="0.4">
      <c r="A296" s="4">
        <v>296</v>
      </c>
    </row>
    <row r="297" spans="1:1" x14ac:dyDescent="0.4">
      <c r="A297" s="4">
        <v>297</v>
      </c>
    </row>
    <row r="298" spans="1:1" x14ac:dyDescent="0.4">
      <c r="A298" s="4">
        <v>298</v>
      </c>
    </row>
    <row r="299" spans="1:1" x14ac:dyDescent="0.4">
      <c r="A299" s="4">
        <v>299</v>
      </c>
    </row>
  </sheetData>
  <sortState xmlns:xlrd2="http://schemas.microsoft.com/office/spreadsheetml/2017/richdata2" ref="A2:I106">
    <sortCondition ref="A1:A106"/>
  </sortState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B8FEE-8E2D-4FF2-9C3A-439AB213FF20}">
  <dimension ref="A1:I8"/>
  <sheetViews>
    <sheetView workbookViewId="0">
      <selection activeCell="J21" sqref="J21"/>
    </sheetView>
  </sheetViews>
  <sheetFormatPr defaultRowHeight="13.9" x14ac:dyDescent="0.4"/>
  <cols>
    <col min="2" max="2" width="12.46484375" bestFit="1" customWidth="1"/>
    <col min="9" max="9" width="26.796875" customWidth="1"/>
  </cols>
  <sheetData>
    <row r="1" spans="1:9" x14ac:dyDescent="0.4">
      <c r="B1" s="8" t="s">
        <v>198</v>
      </c>
      <c r="C1" s="8" t="s">
        <v>199</v>
      </c>
      <c r="D1" s="8" t="s">
        <v>200</v>
      </c>
    </row>
    <row r="2" spans="1:9" x14ac:dyDescent="0.4">
      <c r="A2">
        <v>1</v>
      </c>
      <c r="B2">
        <v>5.3899999999999998E-3</v>
      </c>
      <c r="C2">
        <v>1.0584E-2</v>
      </c>
      <c r="D2">
        <v>7.8051960127692818E-2</v>
      </c>
      <c r="I2" s="9"/>
    </row>
    <row r="3" spans="1:9" x14ac:dyDescent="0.4">
      <c r="A3">
        <v>2</v>
      </c>
      <c r="B3">
        <v>1.017E-2</v>
      </c>
      <c r="C3">
        <v>1.2723999999999999E-2</v>
      </c>
      <c r="D3">
        <v>7.8716764450073098E-2</v>
      </c>
      <c r="I3" s="9"/>
    </row>
    <row r="4" spans="1:9" x14ac:dyDescent="0.4">
      <c r="A4">
        <v>3</v>
      </c>
      <c r="B4">
        <v>6.2700000000000004E-3</v>
      </c>
      <c r="C4">
        <v>1.2968E-2</v>
      </c>
      <c r="D4">
        <v>7.5242156982423411E-2</v>
      </c>
      <c r="I4" s="9"/>
    </row>
    <row r="5" spans="1:9" x14ac:dyDescent="0.4">
      <c r="A5">
        <v>4</v>
      </c>
      <c r="B5">
        <v>6.8409999999999999E-3</v>
      </c>
      <c r="C5">
        <v>1.3129E-2</v>
      </c>
      <c r="D5">
        <v>8.1414423670086472E-2</v>
      </c>
      <c r="I5" s="9"/>
    </row>
    <row r="6" spans="1:9" x14ac:dyDescent="0.4">
      <c r="A6" s="8" t="s">
        <v>201</v>
      </c>
      <c r="B6">
        <f>AVERAGE(B2:B5)</f>
        <v>7.1677500000000005E-3</v>
      </c>
      <c r="C6">
        <f>AVERAGE(C2:C5)</f>
        <v>1.2351250000000001E-2</v>
      </c>
      <c r="D6">
        <f>AVERAGE(D2:D5)</f>
        <v>7.8356326307568946E-2</v>
      </c>
      <c r="I6" s="9"/>
    </row>
    <row r="7" spans="1:9" x14ac:dyDescent="0.4">
      <c r="A7" s="8" t="s">
        <v>202</v>
      </c>
      <c r="B7">
        <f>SQRT(((B2-B6)^2+(B3-B6)^2+(B4-B6)^2+(B5-B6)^2)/4)</f>
        <v>1.8087717344927746E-3</v>
      </c>
      <c r="C7">
        <f>SQRT(((C2-C6)^2+(C3-C6)^2+(C4-C6)^2+(C5-C6)^2)/4)</f>
        <v>1.0304599397841724E-3</v>
      </c>
      <c r="D7">
        <f>SQRT(((D2-D6)^2+(D3-D6)^2+(D4-D6)^2+(D5-D6)^2)/4)</f>
        <v>2.1950264514544169E-3</v>
      </c>
      <c r="I7" s="9"/>
    </row>
    <row r="8" spans="1:9" x14ac:dyDescent="0.4">
      <c r="G8" s="8"/>
      <c r="H8" s="8"/>
      <c r="I8" s="8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中间处理</vt:lpstr>
      <vt:lpstr>脏污</vt:lpstr>
      <vt:lpstr>多次MSE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wjc</dc:creator>
  <cp:lastModifiedBy>嘉城 汪</cp:lastModifiedBy>
  <dcterms:created xsi:type="dcterms:W3CDTF">2015-06-05T18:19:00Z</dcterms:created>
  <dcterms:modified xsi:type="dcterms:W3CDTF">2025-12-16T12:46:23Z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ADB1ACEC65184A77974B1295B72AA920_12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